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Ex3.xml" ContentType="application/vnd.ms-office.chartex+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0.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excel\"/>
    </mc:Choice>
  </mc:AlternateContent>
  <xr:revisionPtr revIDLastSave="0" documentId="13_ncr:1_{12C442C9-712D-4BF6-A133-C9EFC05534F0}" xr6:coauthVersionLast="47" xr6:coauthVersionMax="47" xr10:uidLastSave="{00000000-0000-0000-0000-000000000000}"/>
  <workbookProtection workbookAlgorithmName="SHA-512" workbookHashValue="CaHen4L7DLxEiRzUmlzcRP+C08DeJgXfrL9cfM8LpRsTNPIyFRdTF2WwrGXQtQ15sqlYvFstmtYjLFXnOC1UUw==" workbookSaltValue="5bulkM2UiXB/v7vmwT2f3w==" workbookSpinCount="100000" lockStructure="1"/>
  <bookViews>
    <workbookView xWindow="-120" yWindow="-120" windowWidth="20730" windowHeight="11160" xr2:uid="{00000000-000D-0000-FFFF-FFFF00000000}"/>
  </bookViews>
  <sheets>
    <sheet name="Dashboard" sheetId="4" r:id="rId1"/>
    <sheet name="Sheet1" sheetId="7" state="hidden" r:id="rId2"/>
    <sheet name="Sheet2" sheetId="8" state="hidden" r:id="rId3"/>
    <sheet name="Sheet3" sheetId="9" state="hidden" r:id="rId4"/>
    <sheet name="Sheet4" sheetId="10" state="hidden" r:id="rId5"/>
    <sheet name="Sheet5" sheetId="11" state="hidden" r:id="rId6"/>
    <sheet name="Sheet6" sheetId="12" state="hidden" r:id="rId7"/>
    <sheet name="Sheet7" sheetId="13" state="hidden" r:id="rId8"/>
    <sheet name="practice" sheetId="14" state="hidden" r:id="rId9"/>
    <sheet name="Background 3" sheetId="5" state="hidden" r:id="rId10"/>
    <sheet name="Background 4" sheetId="6" state="hidden" r:id="rId11"/>
  </sheets>
  <externalReferences>
    <externalReference r:id="rId12"/>
  </externalReferences>
  <definedNames>
    <definedName name="_xlchart.v1.0" hidden="1">Sheet5!$D$4:$D$12</definedName>
    <definedName name="_xlchart.v1.1" hidden="1">Sheet5!$E$4:$E$12</definedName>
    <definedName name="_xlchart.v1.5" hidden="1">Sheet5!$D$4:$D$12</definedName>
    <definedName name="_xlchart.v1.6" hidden="1">Sheet5!$E$4:$E$12</definedName>
    <definedName name="_xlchart.v2.2" hidden="1">Sheet7!$D$14:$D$16</definedName>
    <definedName name="_xlchart.v2.3" hidden="1">Sheet7!$E$13</definedName>
    <definedName name="_xlchart.v2.4" hidden="1">Sheet7!$E$14:$E$16</definedName>
    <definedName name="_xlchart.v2.7" hidden="1">Sheet7!$D$14:$D$16</definedName>
    <definedName name="_xlchart.v2.8" hidden="1">Sheet7!$E$13</definedName>
    <definedName name="_xlchart.v2.9" hidden="1">Sheet7!$E$14:$E$16</definedName>
    <definedName name="Slicer_Department">#N/A</definedName>
    <definedName name="Slicer_Education_Field2">#N/A</definedName>
    <definedName name="Slicer_Gender2">#N/A</definedName>
  </definedNames>
  <calcPr calcId="191029"/>
  <pivotCaches>
    <pivotCache cacheId="2"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0" i="14" l="1" a="1"/>
  <c r="D20" i="14" s="1"/>
  <c r="E15" i="14" a="1"/>
  <c r="E15" i="14" s="1"/>
  <c r="D15" i="14" a="1"/>
  <c r="D15" i="14" s="1"/>
  <c r="D14" i="14"/>
  <c r="K48" i="14" a="1"/>
  <c r="K48" i="14" s="1"/>
  <c r="H38" i="14" a="1"/>
  <c r="H38" i="14" s="1"/>
  <c r="C52" i="14"/>
  <c r="E54" i="14"/>
  <c r="E53" i="14"/>
  <c r="E52" i="14"/>
  <c r="E51" i="14"/>
  <c r="E50" i="14"/>
  <c r="C51" i="14"/>
  <c r="C54" i="14"/>
  <c r="C53" i="14"/>
  <c r="E39" i="14"/>
  <c r="K3" i="14" a="1"/>
  <c r="K3" i="14" s="1"/>
  <c r="M2" i="14" s="1"/>
  <c r="M44" i="14" a="1"/>
  <c r="M44" i="14" s="1"/>
  <c r="L44" i="14" a="1"/>
  <c r="L44" i="14" s="1"/>
  <c r="M43" i="14"/>
  <c r="L43" i="14"/>
  <c r="M42" i="14"/>
  <c r="L42" i="14"/>
  <c r="H14" i="14" a="1"/>
  <c r="H14" i="14" s="1"/>
  <c r="C14" i="14" a="1"/>
  <c r="C14" i="14" s="1"/>
  <c r="J41" i="14" a="1"/>
  <c r="J41" i="14" s="1"/>
  <c r="H44" i="14"/>
  <c r="H43" i="14"/>
  <c r="H42" i="14"/>
  <c r="H41" i="14"/>
  <c r="H40" i="14"/>
  <c r="H3" i="14"/>
  <c r="H4" i="14"/>
  <c r="H39" i="14" a="1"/>
  <c r="H39" i="14" s="1"/>
  <c r="C13" i="14"/>
  <c r="H5" i="14"/>
  <c r="H6" i="14"/>
  <c r="H7" i="14"/>
  <c r="H8" i="14"/>
  <c r="H9" i="14"/>
  <c r="H10" i="14"/>
  <c r="H11" i="14"/>
  <c r="E3" i="14" a="1"/>
  <c r="E3" i="14" s="1"/>
  <c r="E12" i="14" s="1"/>
  <c r="D3" i="14" a="1"/>
  <c r="D3" i="14" s="1"/>
  <c r="C4" i="14"/>
  <c r="C5" i="14"/>
  <c r="C6" i="14"/>
  <c r="C7" i="14"/>
  <c r="C8" i="14"/>
  <c r="C9" i="14"/>
  <c r="C10" i="14"/>
  <c r="C11" i="14"/>
  <c r="C3" i="14"/>
  <c r="E16" i="13"/>
  <c r="E15" i="13"/>
  <c r="E14" i="13"/>
  <c r="D15" i="13"/>
  <c r="D16" i="13"/>
  <c r="D14" i="13"/>
  <c r="D5" i="11"/>
  <c r="D6" i="11"/>
  <c r="D7" i="11"/>
  <c r="D8" i="11"/>
  <c r="D9" i="11"/>
  <c r="D10" i="11"/>
  <c r="D11" i="11"/>
  <c r="D12" i="11"/>
  <c r="D4" i="11"/>
  <c r="E6" i="11"/>
  <c r="E9" i="11"/>
  <c r="E11" i="11"/>
  <c r="E8" i="11"/>
  <c r="E4" i="11"/>
  <c r="E10" i="11"/>
  <c r="E7" i="11"/>
  <c r="B7" i="8"/>
  <c r="B6" i="8"/>
  <c r="B8" i="9"/>
  <c r="B9" i="9"/>
  <c r="A7" i="7"/>
  <c r="E5" i="11"/>
  <c r="B7" i="7"/>
  <c r="C7" i="7"/>
  <c r="E12" i="11"/>
  <c r="H12" i="14" l="1"/>
  <c r="C12" i="14"/>
  <c r="D12" i="14"/>
  <c r="C9" i="9"/>
  <c r="C8" i="9"/>
  <c r="C6" i="8"/>
  <c r="C7" i="8"/>
  <c r="E7" i="7"/>
  <c r="D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F9134E-5279-4325-92C1-51BBD1D25512}" keepAlive="1" name="Query - 2020 Summer Olympics" description="Connection to the '2020 Summer Olympics' query in the workbook." type="5" refreshedVersion="8" background="1" saveData="1">
    <dbPr connection="Provider=Microsoft.Mashup.OleDb.1;Data Source=$Workbook$;Location=&quot;2020 Summer Olympics&quot;;Extended Properties=&quot;&quot;" command="SELECT * FROM [2020 Summer Olympic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<sst xmlns="http://schemas.openxmlformats.org/spreadsheetml/2006/main" count="155" uniqueCount="114">
  <si>
    <t>Education Field</t>
  </si>
  <si>
    <t>Job Role</t>
  </si>
  <si>
    <t>35 - 44</t>
  </si>
  <si>
    <t>Sales</t>
  </si>
  <si>
    <t>Life Sciences</t>
  </si>
  <si>
    <t>STAFF-1</t>
  </si>
  <si>
    <t>Sales Executive</t>
  </si>
  <si>
    <t>Single</t>
  </si>
  <si>
    <t>Associates Degree</t>
  </si>
  <si>
    <t>45 - 54</t>
  </si>
  <si>
    <t>R&amp;D</t>
  </si>
  <si>
    <t>STAFF-2</t>
  </si>
  <si>
    <t>Male</t>
  </si>
  <si>
    <t>Research Scientist</t>
  </si>
  <si>
    <t>Married</t>
  </si>
  <si>
    <t>High School</t>
  </si>
  <si>
    <t>STAFF-4</t>
  </si>
  <si>
    <t>Laboratory Technician</t>
  </si>
  <si>
    <t>25 - 34</t>
  </si>
  <si>
    <t>STAFF-5</t>
  </si>
  <si>
    <t>Master's Degree</t>
  </si>
  <si>
    <t>Medical</t>
  </si>
  <si>
    <t>STAFF-7</t>
  </si>
  <si>
    <t>STAFF-8</t>
  </si>
  <si>
    <t>Over 55</t>
  </si>
  <si>
    <t>Bachelor's Degree</t>
  </si>
  <si>
    <t>Divorced</t>
  </si>
  <si>
    <t>Manufacturing Director</t>
  </si>
  <si>
    <t>Healthcare Representative</t>
  </si>
  <si>
    <t>Under 25</t>
  </si>
  <si>
    <t>Manager</t>
  </si>
  <si>
    <t>Sales Representative</t>
  </si>
  <si>
    <t>Research Director</t>
  </si>
  <si>
    <t>Marketing</t>
  </si>
  <si>
    <t>Technical Degree</t>
  </si>
  <si>
    <t>Doctoral Degree</t>
  </si>
  <si>
    <t>HR</t>
  </si>
  <si>
    <t>Human Resources</t>
  </si>
  <si>
    <t>Count of Employee Number</t>
  </si>
  <si>
    <t>Row Labels</t>
  </si>
  <si>
    <t>Grand Total</t>
  </si>
  <si>
    <t>Count of Attrition</t>
  </si>
  <si>
    <t>Average of Age</t>
  </si>
  <si>
    <t>Total Employees</t>
  </si>
  <si>
    <t>Average Age</t>
  </si>
  <si>
    <t>Attrition Count</t>
  </si>
  <si>
    <t>Active Employees</t>
  </si>
  <si>
    <t>Attrition Rate</t>
  </si>
  <si>
    <t>Sum of CF_attrition count</t>
  </si>
  <si>
    <t>Average of Job Satisfaction</t>
  </si>
  <si>
    <t>Rating</t>
  </si>
  <si>
    <t>Balance rating</t>
  </si>
  <si>
    <t xml:space="preserve"> </t>
  </si>
  <si>
    <t>Count of Employee Count</t>
  </si>
  <si>
    <t>male</t>
  </si>
  <si>
    <t>female</t>
  </si>
  <si>
    <t>job role</t>
  </si>
  <si>
    <t>attrition</t>
  </si>
  <si>
    <t>marital status</t>
  </si>
  <si>
    <t>att</t>
  </si>
  <si>
    <t>Salary</t>
  </si>
  <si>
    <t>Headcount</t>
  </si>
  <si>
    <t>Avg Salary</t>
  </si>
  <si>
    <t>Current Emp</t>
  </si>
  <si>
    <t>Salary &gt;10000</t>
  </si>
  <si>
    <t>MALE</t>
  </si>
  <si>
    <t>FEMALE</t>
  </si>
  <si>
    <t>department</t>
  </si>
  <si>
    <t>total</t>
  </si>
  <si>
    <t>salary</t>
  </si>
  <si>
    <t>name</t>
  </si>
  <si>
    <t>john doe</t>
  </si>
  <si>
    <t>bob brown</t>
  </si>
  <si>
    <t>alice johnson</t>
  </si>
  <si>
    <t>alen smith</t>
  </si>
  <si>
    <t>cob brew</t>
  </si>
  <si>
    <t>barel been</t>
  </si>
  <si>
    <t>david jen</t>
  </si>
  <si>
    <t>michael stan</t>
  </si>
  <si>
    <t>lana rey</t>
  </si>
  <si>
    <t>STAFF-9</t>
  </si>
  <si>
    <t>EMP ID</t>
  </si>
  <si>
    <t>fname</t>
  </si>
  <si>
    <t>lname</t>
  </si>
  <si>
    <t>dept</t>
  </si>
  <si>
    <t>STAFF-3</t>
  </si>
  <si>
    <t>STAFF-6</t>
  </si>
  <si>
    <t>Fname</t>
  </si>
  <si>
    <t>Lname</t>
  </si>
  <si>
    <t>john</t>
  </si>
  <si>
    <t>doe</t>
  </si>
  <si>
    <t>bob</t>
  </si>
  <si>
    <t>brown</t>
  </si>
  <si>
    <t>alice</t>
  </si>
  <si>
    <t>johnson</t>
  </si>
  <si>
    <t>alen</t>
  </si>
  <si>
    <t>smith</t>
  </si>
  <si>
    <t>cob</t>
  </si>
  <si>
    <t>brew</t>
  </si>
  <si>
    <t>barel</t>
  </si>
  <si>
    <t>been</t>
  </si>
  <si>
    <t>david</t>
  </si>
  <si>
    <t>jen</t>
  </si>
  <si>
    <t>michael</t>
  </si>
  <si>
    <t>stan</t>
  </si>
  <si>
    <t>lana</t>
  </si>
  <si>
    <t>rey</t>
  </si>
  <si>
    <t>which num lname been is</t>
  </si>
  <si>
    <t>lookups for one matching</t>
  </si>
  <si>
    <t>for all match,use filter</t>
  </si>
  <si>
    <t>STAFF-0</t>
  </si>
  <si>
    <t>begin with b</t>
  </si>
  <si>
    <t>median salary</t>
  </si>
  <si>
    <t>female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</si>
</sst>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C09]#,##0"/>
    <numFmt numFmtId="166" formatCode="&quot;₹&quot;\ #,##0"/>
  </numFmts>
  <fonts count="6" x14ac:knownFonts="1">
    <font>
      <sz val="12"/>
      <color theme="1"/>
      <name val="Calibri"/>
      <scheme val="minor"/>
    </font>
    <font>
      <sz val="12"/>
      <color theme="1"/>
      <name val="Calibri"/>
      <scheme val="minor"/>
    </font>
    <font>
      <b/>
      <sz val="12"/>
      <color theme="1"/>
      <name val="Calibri"/>
      <family val="2"/>
      <scheme val="minor"/>
    </font>
    <font>
      <sz val="12"/>
      <color theme="1"/>
      <name val="Calibri"/>
      <family val="2"/>
      <scheme val="minor"/>
    </font>
    <font>
      <sz val="12"/>
      <color rgb="FFFF0000"/>
      <name val="Calibri"/>
      <family val="2"/>
      <scheme val="minor"/>
    </font>
    <font>
      <sz val="8"/>
      <name val="Calibri"/>
      <family val="2"/>
      <scheme val="minor"/>
    </font>
  </fonts>
  <fills count="7">
    <fill>
      <patternFill patternType="none"/>
    </fill>
    <fill>
      <patternFill patternType="gray125"/>
    </fill>
    <fill>
      <patternFill patternType="solid">
        <fgColor rgb="FFF0068C"/>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59999389629810485"/>
        <bgColor indexed="64"/>
      </patternFill>
    </fill>
  </fills>
  <borders count="11">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s>
  <cellStyleXfs count="2">
    <xf numFmtId="0" fontId="0" fillId="0" borderId="0"/>
    <xf numFmtId="9" fontId="1" fillId="0" borderId="0" applyFont="0" applyFill="0" applyBorder="0" applyAlignment="0" applyProtection="0"/>
  </cellStyleXfs>
  <cellXfs count="45">
    <xf numFmtId="0" fontId="0" fillId="0" borderId="0" xfId="0" applyFont="1" applyAlignment="1"/>
    <xf numFmtId="0" fontId="0" fillId="0" borderId="1" xfId="0" applyFont="1" applyBorder="1" applyAlignment="1"/>
    <xf numFmtId="0" fontId="0" fillId="0" borderId="3" xfId="0" applyFont="1" applyBorder="1" applyAlignment="1"/>
    <xf numFmtId="0" fontId="0" fillId="0" borderId="4" xfId="0" applyNumberFormat="1" applyFont="1" applyBorder="1" applyAlignment="1"/>
    <xf numFmtId="0" fontId="0" fillId="0" borderId="1" xfId="0" pivotButton="1" applyFont="1" applyBorder="1" applyAlignment="1"/>
    <xf numFmtId="0" fontId="0" fillId="0" borderId="1" xfId="0" applyFont="1" applyBorder="1" applyAlignment="1">
      <alignment horizontal="left"/>
    </xf>
    <xf numFmtId="0" fontId="0" fillId="0" borderId="3" xfId="0" applyNumberFormat="1" applyFont="1" applyBorder="1" applyAlignment="1"/>
    <xf numFmtId="0" fontId="0" fillId="0" borderId="2" xfId="0" applyFont="1" applyBorder="1" applyAlignment="1">
      <alignment horizontal="left"/>
    </xf>
    <xf numFmtId="0" fontId="0" fillId="0" borderId="5" xfId="0" applyNumberFormat="1" applyFont="1" applyBorder="1" applyAlignment="1"/>
    <xf numFmtId="0" fontId="0" fillId="0" borderId="6" xfId="0" applyFont="1" applyBorder="1" applyAlignment="1">
      <alignment horizontal="left"/>
    </xf>
    <xf numFmtId="0" fontId="0" fillId="0" borderId="7" xfId="0" applyFont="1" applyBorder="1" applyAlignment="1"/>
    <xf numFmtId="0" fontId="0" fillId="0" borderId="6" xfId="0" applyNumberFormat="1" applyFont="1" applyBorder="1" applyAlignment="1"/>
    <xf numFmtId="0" fontId="0" fillId="0" borderId="8" xfId="0" applyNumberFormat="1" applyFont="1" applyBorder="1" applyAlignment="1"/>
    <xf numFmtId="0" fontId="0" fillId="0" borderId="9" xfId="0" applyFont="1" applyBorder="1" applyAlignment="1"/>
    <xf numFmtId="0" fontId="0" fillId="0" borderId="10" xfId="0" applyNumberFormat="1" applyFont="1" applyBorder="1" applyAlignment="1"/>
    <xf numFmtId="9" fontId="0" fillId="0" borderId="0" xfId="1" applyFont="1" applyAlignment="1"/>
    <xf numFmtId="164" fontId="0" fillId="0" borderId="0" xfId="0" applyNumberFormat="1" applyFont="1" applyAlignment="1"/>
    <xf numFmtId="1" fontId="0" fillId="0" borderId="0" xfId="0" applyNumberFormat="1" applyFont="1" applyAlignment="1"/>
    <xf numFmtId="10" fontId="0" fillId="0" borderId="0" xfId="1" applyNumberFormat="1" applyFont="1" applyAlignment="1"/>
    <xf numFmtId="164" fontId="0" fillId="0" borderId="4" xfId="0" applyNumberFormat="1" applyFont="1" applyBorder="1" applyAlignment="1"/>
    <xf numFmtId="2" fontId="0" fillId="0" borderId="0" xfId="1" applyNumberFormat="1" applyFont="1" applyAlignment="1"/>
    <xf numFmtId="0" fontId="2" fillId="0" borderId="1" xfId="0" pivotButton="1" applyFont="1" applyBorder="1" applyAlignment="1"/>
    <xf numFmtId="0" fontId="2" fillId="0" borderId="6" xfId="0" applyFont="1" applyBorder="1" applyAlignment="1">
      <alignment horizontal="left"/>
    </xf>
    <xf numFmtId="0" fontId="2" fillId="0" borderId="3" xfId="0" applyFont="1" applyBorder="1" applyAlignment="1"/>
    <xf numFmtId="0" fontId="2" fillId="0" borderId="4" xfId="0" applyNumberFormat="1" applyFont="1" applyBorder="1" applyAlignment="1"/>
    <xf numFmtId="0" fontId="3" fillId="0" borderId="0" xfId="0" applyFont="1" applyAlignment="1"/>
    <xf numFmtId="10" fontId="0" fillId="0" borderId="3" xfId="0" applyNumberFormat="1" applyFont="1" applyBorder="1" applyAlignment="1"/>
    <xf numFmtId="10" fontId="0" fillId="0" borderId="5" xfId="0" applyNumberFormat="1" applyFont="1" applyBorder="1" applyAlignment="1"/>
    <xf numFmtId="10" fontId="0" fillId="0" borderId="4" xfId="0" applyNumberFormat="1" applyFont="1" applyBorder="1" applyAlignment="1"/>
    <xf numFmtId="0" fontId="0" fillId="0" borderId="0" xfId="0" applyFont="1" applyAlignment="1">
      <alignment wrapText="1"/>
    </xf>
    <xf numFmtId="0" fontId="2" fillId="2" borderId="0" xfId="0" applyFont="1" applyFill="1" applyAlignment="1"/>
    <xf numFmtId="0" fontId="0" fillId="3" borderId="0" xfId="0" applyFont="1" applyFill="1" applyAlignment="1"/>
    <xf numFmtId="14" fontId="0" fillId="3" borderId="0" xfId="0" applyNumberFormat="1" applyFont="1" applyFill="1" applyAlignment="1"/>
    <xf numFmtId="0" fontId="0" fillId="4" borderId="0" xfId="0" applyFont="1" applyFill="1" applyAlignment="1"/>
    <xf numFmtId="165" fontId="0" fillId="3" borderId="0" xfId="0" applyNumberFormat="1" applyFont="1" applyFill="1" applyAlignment="1"/>
    <xf numFmtId="165" fontId="0" fillId="4" borderId="0" xfId="0" applyNumberFormat="1" applyFont="1" applyFill="1" applyAlignment="1"/>
    <xf numFmtId="0" fontId="2" fillId="2" borderId="0" xfId="0" applyFont="1" applyFill="1" applyAlignment="1">
      <alignment horizontal="center"/>
    </xf>
    <xf numFmtId="0" fontId="0" fillId="4" borderId="0" xfId="0" applyNumberFormat="1" applyFont="1" applyFill="1" applyAlignment="1"/>
    <xf numFmtId="0" fontId="4" fillId="3" borderId="0" xfId="0" applyFont="1" applyFill="1" applyAlignment="1"/>
    <xf numFmtId="166" fontId="0" fillId="0" borderId="0" xfId="0" applyNumberFormat="1" applyFont="1" applyAlignment="1"/>
    <xf numFmtId="0" fontId="3" fillId="3" borderId="0" xfId="0" applyFont="1" applyFill="1" applyAlignment="1"/>
    <xf numFmtId="0" fontId="0" fillId="5" borderId="0" xfId="0" applyFont="1" applyFill="1" applyAlignment="1"/>
    <xf numFmtId="0" fontId="3" fillId="5" borderId="0" xfId="0" applyFont="1" applyFill="1" applyAlignment="1"/>
    <xf numFmtId="0" fontId="3" fillId="6" borderId="0" xfId="0" applyFont="1" applyFill="1" applyAlignment="1"/>
    <xf numFmtId="0" fontId="0" fillId="6" borderId="0" xfId="0" applyFont="1" applyFill="1" applyAlignment="1"/>
  </cellXfs>
  <cellStyles count="2">
    <cellStyle name="Normal" xfId="0" builtinId="0"/>
    <cellStyle name="Percent" xfId="1" builtinId="5"/>
  </cellStyles>
  <dxfs count="34">
    <dxf>
      <numFmt numFmtId="164" formatCode="0.0"/>
    </dxf>
    <dxf>
      <font>
        <b/>
        <family val="2"/>
      </font>
    </dxf>
    <dxf>
      <font>
        <b/>
        <family val="2"/>
      </font>
    </dxf>
    <dxf>
      <font>
        <b/>
        <family val="2"/>
      </font>
    </dxf>
    <dxf>
      <font>
        <b/>
        <family val="2"/>
      </font>
    </dxf>
    <dxf>
      <numFmt numFmtId="164" formatCode="0.0"/>
    </dxf>
    <dxf>
      <font>
        <b/>
        <family val="2"/>
      </font>
    </dxf>
    <dxf>
      <font>
        <b/>
        <family val="2"/>
      </font>
    </dxf>
    <dxf>
      <font>
        <b/>
        <family val="2"/>
      </font>
    </dxf>
    <dxf>
      <font>
        <b/>
        <family val="2"/>
      </font>
    </dxf>
    <dxf>
      <font>
        <b/>
        <family val="2"/>
      </font>
    </dxf>
    <dxf>
      <font>
        <b/>
        <family val="2"/>
      </font>
    </dxf>
    <dxf>
      <font>
        <b/>
        <family val="2"/>
      </font>
    </dxf>
    <dxf>
      <font>
        <b/>
        <family val="2"/>
      </font>
    </dxf>
    <dxf>
      <numFmt numFmtId="164" formatCode="0.0"/>
    </dxf>
    <dxf>
      <font>
        <b/>
        <family val="2"/>
      </font>
    </dxf>
    <dxf>
      <font>
        <b/>
        <family val="2"/>
      </font>
    </dxf>
    <dxf>
      <font>
        <b/>
        <family val="2"/>
      </font>
    </dxf>
    <dxf>
      <font>
        <b/>
        <family val="2"/>
      </font>
    </dxf>
    <dxf>
      <numFmt numFmtId="164" formatCode="0.0"/>
    </dxf>
    <dxf>
      <font>
        <b/>
        <family val="2"/>
      </font>
    </dxf>
    <dxf>
      <font>
        <b/>
        <family val="2"/>
      </font>
    </dxf>
    <dxf>
      <font>
        <b/>
        <family val="2"/>
      </font>
    </dxf>
    <dxf>
      <font>
        <b/>
        <family val="2"/>
      </font>
    </dxf>
    <dxf>
      <numFmt numFmtId="164" formatCode="0.0"/>
    </dxf>
    <dxf>
      <font>
        <b/>
        <family val="2"/>
      </font>
    </dxf>
    <dxf>
      <font>
        <b/>
        <family val="2"/>
      </font>
    </dxf>
    <dxf>
      <font>
        <b/>
        <family val="2"/>
      </font>
    </dxf>
    <dxf>
      <font>
        <b/>
        <family val="2"/>
      </font>
    </dxf>
    <dxf>
      <numFmt numFmtId="164" formatCode="0.0"/>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4">
    <tableStyle name="Data-style" pivot="0" count="3" xr9:uid="{00000000-0011-0000-FFFF-FFFF00000000}">
      <tableStyleElement type="headerRow" dxfId="33"/>
      <tableStyleElement type="firstRowStripe" dxfId="32"/>
      <tableStyleElement type="secondRowStripe" dxfId="31"/>
    </tableStyle>
    <tableStyle name="Slicer Style 1" pivot="0" table="0" count="4" xr9:uid="{629DF0EF-13FC-485B-88CC-4288DD13EED9}">
      <tableStyleElement type="wholeTable" dxfId="30"/>
    </tableStyle>
    <tableStyle name="Slicer Style 2" pivot="0" table="0" count="1" xr9:uid="{24B94747-039E-4901-8B6D-BB95CE0ED20A}"/>
    <tableStyle name="Slicer Style 3" pivot="0" table="0" count="2" xr9:uid="{2E336DAB-933F-49D8-8353-133AA6413B0F}"/>
  </tableStyles>
  <colors>
    <mruColors>
      <color rgb="FFF0068C"/>
      <color rgb="FFEF6F0F"/>
      <color rgb="FF7E0000"/>
      <color rgb="FFAA2897"/>
      <color rgb="FF00518E"/>
      <color rgb="FFE169B0"/>
      <color rgb="FFCB417F"/>
      <color rgb="FFA53187"/>
    </mruColors>
  </colors>
  <extLst>
    <ext xmlns:x14="http://schemas.microsoft.com/office/spreadsheetml/2009/9/main" uri="{46F421CA-312F-682f-3DD2-61675219B42D}">
      <x14:dxfs count="6">
        <dxf>
          <fill>
            <patternFill patternType="none">
              <bgColor auto="1"/>
            </patternFill>
          </fill>
        </dxf>
        <dxf>
          <fill>
            <patternFill>
              <bgColor theme="5" tint="0.39994506668294322"/>
            </patternFill>
          </fill>
        </dxf>
        <dxf>
          <fill>
            <gradientFill degree="90">
              <stop position="0">
                <color theme="5" tint="-0.49803155613879818"/>
              </stop>
              <stop position="1">
                <color rgb="FFEF6F0F"/>
              </stop>
            </gradientFill>
          </fill>
        </dxf>
        <dxf>
          <font>
            <b/>
            <i val="0"/>
          </font>
          <fill>
            <gradientFill degree="90">
              <stop position="0">
                <color theme="5" tint="-0.25098422193060094"/>
              </stop>
              <stop position="1">
                <color rgb="FFFFC000"/>
              </stop>
            </gradientFill>
          </fill>
        </dxf>
        <dxf>
          <font>
            <b/>
            <i val="0"/>
            <name val="Calibri"/>
            <family val="2"/>
            <scheme val="minor"/>
          </font>
          <fill>
            <gradientFill degree="90">
              <stop position="0">
                <color rgb="FFFF0000"/>
              </stop>
              <stop position="1">
                <color rgb="FFFFC000"/>
              </stop>
            </gradientFill>
          </fill>
        </dxf>
        <dxf>
          <font>
            <b/>
            <i val="0"/>
          </font>
          <fill>
            <gradientFill degree="90">
              <stop position="0">
                <color theme="5" tint="-0.25098422193060094"/>
              </stop>
              <stop position="1">
                <color rgb="FFFFC000"/>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selectedItemWithNoData" dxfId="3"/>
          </x14:slicerStyleElements>
        </x14:slicerStyle>
        <x14:slicerStyle name="Slicer Style 2">
          <x14:slicerStyleElements>
            <x14:slicerStyleElement type="selectedItemWithData" dxfId="2"/>
          </x14:slicerStyleElements>
        </x14:slicerStyle>
        <x14:slicerStyle name="Slicer Style 3">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E0E0-4C4D-9E0B-A468218002F4}"/>
              </c:ext>
            </c:extLst>
          </c:dPt>
          <c:dPt>
            <c:idx val="1"/>
            <c:bubble3D val="0"/>
            <c:spPr>
              <a:solidFill>
                <a:schemeClr val="accent2"/>
              </a:solidFill>
              <a:ln w="19050">
                <a:noFill/>
              </a:ln>
              <a:effectLst/>
            </c:spPr>
            <c:extLst>
              <c:ext xmlns:c16="http://schemas.microsoft.com/office/drawing/2014/chart" uri="{C3380CC4-5D6E-409C-BE32-E72D297353CC}">
                <c16:uniqueId val="{00000003-E0E0-4C4D-9E0B-A468218002F4}"/>
              </c:ext>
            </c:extLst>
          </c:dPt>
          <c:val>
            <c:numRef>
              <c:f>Sheet2!$C$6:$C$7</c:f>
              <c:numCache>
                <c:formatCode>0.00</c:formatCode>
                <c:ptCount val="2"/>
                <c:pt idx="0">
                  <c:v>0.66326530612244894</c:v>
                </c:pt>
                <c:pt idx="1">
                  <c:v>0.33673469387755106</c:v>
                </c:pt>
              </c:numCache>
            </c:numRef>
          </c:val>
          <c:extLst>
            <c:ext xmlns:c16="http://schemas.microsoft.com/office/drawing/2014/chart" uri="{C3380CC4-5D6E-409C-BE32-E72D297353CC}">
              <c16:uniqueId val="{00000004-E0E0-4C4D-9E0B-A468218002F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210324187634206E-2"/>
          <c:y val="0.14942542259518743"/>
          <c:w val="0.85072098983631139"/>
          <c:h val="0.74712620791583662"/>
        </c:manualLayout>
      </c:layout>
      <c:barChart>
        <c:barDir val="bar"/>
        <c:grouping val="stacked"/>
        <c:varyColors val="0"/>
        <c:ser>
          <c:idx val="0"/>
          <c:order val="0"/>
          <c:spPr>
            <a:solidFill>
              <a:srgbClr val="002060"/>
            </a:solidFill>
            <a:ln>
              <a:noFill/>
            </a:ln>
            <a:effectLst/>
          </c:spPr>
          <c:invertIfNegative val="0"/>
          <c:val>
            <c:numRef>
              <c:f>Sheet2!$B$6</c:f>
              <c:numCache>
                <c:formatCode>0.0</c:formatCode>
                <c:ptCount val="1"/>
                <c:pt idx="0">
                  <c:v>2.6530612244897958</c:v>
                </c:pt>
              </c:numCache>
            </c:numRef>
          </c:val>
          <c:extLst>
            <c:ext xmlns:c16="http://schemas.microsoft.com/office/drawing/2014/chart" uri="{C3380CC4-5D6E-409C-BE32-E72D297353CC}">
              <c16:uniqueId val="{00000000-7B70-4CB0-BA67-C8ED06368284}"/>
            </c:ext>
          </c:extLst>
        </c:ser>
        <c:ser>
          <c:idx val="1"/>
          <c:order val="1"/>
          <c:spPr>
            <a:noFill/>
            <a:ln>
              <a:noFill/>
            </a:ln>
            <a:effectLst/>
          </c:spPr>
          <c:invertIfNegative val="0"/>
          <c:val>
            <c:numRef>
              <c:f>Sheet2!$B$7</c:f>
              <c:numCache>
                <c:formatCode>0.0</c:formatCode>
                <c:ptCount val="1"/>
                <c:pt idx="0">
                  <c:v>1.3469387755102042</c:v>
                </c:pt>
              </c:numCache>
            </c:numRef>
          </c:val>
          <c:extLst>
            <c:ext xmlns:c16="http://schemas.microsoft.com/office/drawing/2014/chart" uri="{C3380CC4-5D6E-409C-BE32-E72D297353CC}">
              <c16:uniqueId val="{00000001-7B70-4CB0-BA67-C8ED06368284}"/>
            </c:ext>
          </c:extLst>
        </c:ser>
        <c:dLbls>
          <c:showLegendKey val="0"/>
          <c:showVal val="0"/>
          <c:showCatName val="0"/>
          <c:showSerName val="0"/>
          <c:showPercent val="0"/>
          <c:showBubbleSize val="0"/>
        </c:dLbls>
        <c:gapWidth val="97"/>
        <c:overlap val="100"/>
        <c:axId val="1330535167"/>
        <c:axId val="1330535647"/>
      </c:barChart>
      <c:catAx>
        <c:axId val="1330535167"/>
        <c:scaling>
          <c:orientation val="minMax"/>
        </c:scaling>
        <c:delete val="1"/>
        <c:axPos val="l"/>
        <c:majorTickMark val="out"/>
        <c:minorTickMark val="none"/>
        <c:tickLblPos val="nextTo"/>
        <c:crossAx val="1330535647"/>
        <c:crosses val="autoZero"/>
        <c:auto val="1"/>
        <c:lblAlgn val="ctr"/>
        <c:lblOffset val="100"/>
        <c:noMultiLvlLbl val="0"/>
      </c:catAx>
      <c:valAx>
        <c:axId val="1330535647"/>
        <c:scaling>
          <c:orientation val="minMax"/>
          <c:max val="4"/>
        </c:scaling>
        <c:delete val="1"/>
        <c:axPos val="b"/>
        <c:numFmt formatCode="0.0" sourceLinked="1"/>
        <c:majorTickMark val="out"/>
        <c:minorTickMark val="none"/>
        <c:tickLblPos val="nextTo"/>
        <c:crossAx val="1330535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85000"/>
                </a:schemeClr>
              </a:solidFill>
              <a:ln w="19050">
                <a:solidFill>
                  <a:schemeClr val="bg2">
                    <a:lumMod val="85000"/>
                  </a:schemeClr>
                </a:solidFill>
              </a:ln>
              <a:effectLst/>
            </c:spPr>
            <c:extLst>
              <c:ext xmlns:c16="http://schemas.microsoft.com/office/drawing/2014/chart" uri="{C3380CC4-5D6E-409C-BE32-E72D297353CC}">
                <c16:uniqueId val="{00000001-20D1-468A-B223-D19A38930658}"/>
              </c:ext>
            </c:extLst>
          </c:dPt>
          <c:dPt>
            <c:idx val="1"/>
            <c:bubble3D val="0"/>
            <c:spPr>
              <a:gradFill flip="none" rotWithShape="1">
                <a:gsLst>
                  <a:gs pos="86000">
                    <a:srgbClr val="CE63B8"/>
                  </a:gs>
                  <a:gs pos="51000">
                    <a:srgbClr val="F0068C"/>
                  </a:gs>
                  <a:gs pos="100000">
                    <a:schemeClr val="accent1">
                      <a:lumMod val="45000"/>
                      <a:lumOff val="55000"/>
                    </a:schemeClr>
                  </a:gs>
                  <a:gs pos="100000">
                    <a:srgbClr val="AA2897"/>
                  </a:gs>
                  <a:gs pos="100000">
                    <a:schemeClr val="accent1">
                      <a:lumMod val="30000"/>
                      <a:lumOff val="70000"/>
                    </a:schemeClr>
                  </a:gs>
                </a:gsLst>
                <a:path path="rect">
                  <a:fillToRect r="100000" b="100000"/>
                </a:path>
                <a:tileRect l="-100000" t="-100000"/>
              </a:gradFill>
              <a:ln w="19050">
                <a:solidFill>
                  <a:schemeClr val="lt1"/>
                </a:solidFill>
              </a:ln>
              <a:effectLst/>
            </c:spPr>
            <c:extLst>
              <c:ext xmlns:c16="http://schemas.microsoft.com/office/drawing/2014/chart" uri="{C3380CC4-5D6E-409C-BE32-E72D297353CC}">
                <c16:uniqueId val="{00000003-20D1-468A-B223-D19A38930658}"/>
              </c:ext>
            </c:extLst>
          </c:dPt>
          <c:val>
            <c:numRef>
              <c:f>Sheet3!$C$8:$C$9</c:f>
              <c:numCache>
                <c:formatCode>0%</c:formatCode>
                <c:ptCount val="2"/>
                <c:pt idx="0">
                  <c:v>0</c:v>
                </c:pt>
                <c:pt idx="1">
                  <c:v>1</c:v>
                </c:pt>
              </c:numCache>
            </c:numRef>
          </c:val>
          <c:extLst>
            <c:ext xmlns:c16="http://schemas.microsoft.com/office/drawing/2014/chart" uri="{C3380CC4-5D6E-409C-BE32-E72D297353CC}">
              <c16:uniqueId val="{00000004-20D1-468A-B223-D19A3893065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73000">
                    <a:srgbClr val="00518E"/>
                  </a:gs>
                  <a:gs pos="100000">
                    <a:schemeClr val="accent1">
                      <a:lumMod val="45000"/>
                      <a:lumOff val="55000"/>
                    </a:schemeClr>
                  </a:gs>
                  <a:gs pos="100000">
                    <a:srgbClr val="AA2897"/>
                  </a:gs>
                  <a:gs pos="100000">
                    <a:schemeClr val="accent1">
                      <a:lumMod val="30000"/>
                      <a:lumOff val="70000"/>
                    </a:schemeClr>
                  </a:gs>
                </a:gsLst>
                <a:path path="rect">
                  <a:fillToRect l="100000" b="100000"/>
                </a:path>
              </a:gradFill>
              <a:ln w="19050">
                <a:solidFill>
                  <a:schemeClr val="lt1"/>
                </a:solidFill>
              </a:ln>
              <a:effectLst/>
            </c:spPr>
            <c:extLst>
              <c:ext xmlns:c16="http://schemas.microsoft.com/office/drawing/2014/chart" uri="{C3380CC4-5D6E-409C-BE32-E72D297353CC}">
                <c16:uniqueId val="{00000001-7332-4E2D-BD88-E5B3A3877A11}"/>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7332-4E2D-BD88-E5B3A3877A11}"/>
              </c:ext>
            </c:extLst>
          </c:dPt>
          <c:val>
            <c:numRef>
              <c:f>Sheet3!$C$8:$C$9</c:f>
              <c:numCache>
                <c:formatCode>0%</c:formatCode>
                <c:ptCount val="2"/>
                <c:pt idx="0">
                  <c:v>0</c:v>
                </c:pt>
                <c:pt idx="1">
                  <c:v>1</c:v>
                </c:pt>
              </c:numCache>
            </c:numRef>
          </c:val>
          <c:extLst>
            <c:ext xmlns:c16="http://schemas.microsoft.com/office/drawing/2014/chart" uri="{C3380CC4-5D6E-409C-BE32-E72D297353CC}">
              <c16:uniqueId val="{00000004-7332-4E2D-BD88-E5B3A3877A11}"/>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Dashboard.xlsx]Sheet4!edu</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65000">
                <a:schemeClr val="accent6">
                  <a:lumMod val="75000"/>
                </a:schemeClr>
              </a:gs>
              <a:gs pos="77000">
                <a:schemeClr val="accent6">
                  <a:lumMod val="75000"/>
                </a:schemeClr>
              </a:gs>
              <a:gs pos="99500">
                <a:schemeClr val="accent6">
                  <a:lumMod val="60000"/>
                  <a:lumOff val="40000"/>
                </a:schemeClr>
              </a:gs>
              <a:gs pos="100000">
                <a:schemeClr val="accent6">
                  <a:lumMod val="60000"/>
                  <a:lumOff val="40000"/>
                </a:schemeClr>
              </a:gs>
            </a:gsLst>
            <a:path path="rect">
              <a:fillToRect r="100000" b="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gradFill>
              <a:gsLst>
                <a:gs pos="65000">
                  <a:schemeClr val="accent6">
                    <a:lumMod val="75000"/>
                  </a:schemeClr>
                </a:gs>
                <a:gs pos="77000">
                  <a:schemeClr val="accent6">
                    <a:lumMod val="75000"/>
                  </a:schemeClr>
                </a:gs>
                <a:gs pos="99500">
                  <a:schemeClr val="accent6">
                    <a:lumMod val="60000"/>
                    <a:lumOff val="40000"/>
                  </a:schemeClr>
                </a:gs>
                <a:gs pos="100000">
                  <a:schemeClr val="accent6">
                    <a:lumMod val="60000"/>
                    <a:lumOff val="40000"/>
                  </a:schemeClr>
                </a:gs>
              </a:gsLst>
              <a:path path="rect">
                <a:fillToRect r="100000" b="10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Sheet4!$A$4:$A$9</c:f>
              <c:strCache>
                <c:ptCount val="5"/>
                <c:pt idx="0">
                  <c:v>Doctoral Degree</c:v>
                </c:pt>
                <c:pt idx="1">
                  <c:v>High School</c:v>
                </c:pt>
                <c:pt idx="2">
                  <c:v>Associates Degree</c:v>
                </c:pt>
                <c:pt idx="3">
                  <c:v>Master's Degree</c:v>
                </c:pt>
                <c:pt idx="4">
                  <c:v>Bachelor's Degree</c:v>
                </c:pt>
              </c:strCache>
            </c:strRef>
          </c:cat>
          <c:val>
            <c:numRef>
              <c:f>Sheet4!$B$4:$B$9</c:f>
              <c:numCache>
                <c:formatCode>General</c:formatCode>
                <c:ptCount val="5"/>
                <c:pt idx="0">
                  <c:v>2</c:v>
                </c:pt>
                <c:pt idx="1">
                  <c:v>20</c:v>
                </c:pt>
                <c:pt idx="2">
                  <c:v>25</c:v>
                </c:pt>
                <c:pt idx="3">
                  <c:v>42</c:v>
                </c:pt>
                <c:pt idx="4">
                  <c:v>61</c:v>
                </c:pt>
              </c:numCache>
            </c:numRef>
          </c:val>
          <c:extLst>
            <c:ext xmlns:c16="http://schemas.microsoft.com/office/drawing/2014/chart" uri="{C3380CC4-5D6E-409C-BE32-E72D297353CC}">
              <c16:uniqueId val="{00000000-8FED-4F8F-8293-C91DD8C3D557}"/>
            </c:ext>
          </c:extLst>
        </c:ser>
        <c:dLbls>
          <c:dLblPos val="outEnd"/>
          <c:showLegendKey val="0"/>
          <c:showVal val="1"/>
          <c:showCatName val="0"/>
          <c:showSerName val="0"/>
          <c:showPercent val="0"/>
          <c:showBubbleSize val="0"/>
        </c:dLbls>
        <c:gapWidth val="45"/>
        <c:axId val="1571771007"/>
        <c:axId val="1571771967"/>
      </c:barChart>
      <c:catAx>
        <c:axId val="15717710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571771967"/>
        <c:crosses val="autoZero"/>
        <c:auto val="1"/>
        <c:lblAlgn val="ctr"/>
        <c:lblOffset val="100"/>
        <c:noMultiLvlLbl val="0"/>
      </c:catAx>
      <c:valAx>
        <c:axId val="1571771967"/>
        <c:scaling>
          <c:orientation val="minMax"/>
        </c:scaling>
        <c:delete val="1"/>
        <c:axPos val="b"/>
        <c:numFmt formatCode="General" sourceLinked="1"/>
        <c:majorTickMark val="out"/>
        <c:minorTickMark val="none"/>
        <c:tickLblPos val="nextTo"/>
        <c:crossAx val="1571771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Dashboard.xlsx]Sheet6!dept</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bg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21000">
                <a:srgbClr val="00B0F0"/>
              </a:gs>
              <a:gs pos="100000">
                <a:schemeClr val="accent1">
                  <a:lumMod val="30000"/>
                  <a:lumOff val="70000"/>
                </a:schemeClr>
              </a:gs>
            </a:gsLst>
            <a:lin ang="5400000" scaled="1"/>
          </a:gradFill>
          <a:ln w="19050">
            <a:solidFill>
              <a:schemeClr val="bg1">
                <a:lumMod val="50000"/>
              </a:schemeClr>
            </a:solidFill>
          </a:ln>
          <a:effectLst/>
        </c:spPr>
      </c:pivotFmt>
      <c:pivotFmt>
        <c:idx val="7"/>
        <c:spPr>
          <a:gradFill>
            <a:gsLst>
              <a:gs pos="20000">
                <a:schemeClr val="accent1">
                  <a:lumMod val="50000"/>
                </a:schemeClr>
              </a:gs>
              <a:gs pos="87000">
                <a:schemeClr val="accent1">
                  <a:lumMod val="60000"/>
                  <a:lumOff val="40000"/>
                </a:schemeClr>
              </a:gs>
              <a:gs pos="100000">
                <a:schemeClr val="accent1">
                  <a:lumMod val="30000"/>
                  <a:lumOff val="70000"/>
                </a:schemeClr>
              </a:gs>
            </a:gsLst>
            <a:lin ang="5400000" scaled="1"/>
          </a:gradFill>
          <a:ln w="19050">
            <a:solidFill>
              <a:schemeClr val="bg1">
                <a:lumMod val="50000"/>
              </a:schemeClr>
            </a:solidFill>
          </a:ln>
          <a:effectLst/>
        </c:spPr>
      </c:pivotFmt>
      <c:pivotFmt>
        <c:idx val="8"/>
        <c:spPr>
          <a:gradFill>
            <a:gsLst>
              <a:gs pos="26000">
                <a:schemeClr val="tx1">
                  <a:lumMod val="65000"/>
                  <a:lumOff val="35000"/>
                </a:schemeClr>
              </a:gs>
              <a:gs pos="100000">
                <a:schemeClr val="tx1">
                  <a:lumMod val="85000"/>
                  <a:lumOff val="15000"/>
                </a:schemeClr>
              </a:gs>
              <a:gs pos="100000">
                <a:schemeClr val="accent1">
                  <a:lumMod val="30000"/>
                  <a:lumOff val="70000"/>
                </a:schemeClr>
              </a:gs>
            </a:gsLst>
            <a:lin ang="5400000" scaled="1"/>
          </a:gradFill>
          <a:ln w="19050">
            <a:solidFill>
              <a:schemeClr val="bg1">
                <a:lumMod val="50000"/>
              </a:schemeClr>
            </a:solidFill>
          </a:ln>
          <a:effectLst/>
        </c:spPr>
      </c:pivotFmt>
    </c:pivotFmts>
    <c:plotArea>
      <c:layout/>
      <c:pieChart>
        <c:varyColors val="1"/>
        <c:ser>
          <c:idx val="0"/>
          <c:order val="0"/>
          <c:tx>
            <c:strRef>
              <c:f>Sheet6!$B$3</c:f>
              <c:strCache>
                <c:ptCount val="1"/>
                <c:pt idx="0">
                  <c:v>Total</c:v>
                </c:pt>
              </c:strCache>
            </c:strRef>
          </c:tx>
          <c:spPr>
            <a:ln>
              <a:solidFill>
                <a:schemeClr val="bg1">
                  <a:lumMod val="50000"/>
                </a:schemeClr>
              </a:solidFill>
            </a:ln>
          </c:spPr>
          <c:dPt>
            <c:idx val="0"/>
            <c:bubble3D val="0"/>
            <c:spPr>
              <a:gradFill>
                <a:gsLst>
                  <a:gs pos="21000">
                    <a:srgbClr val="00B0F0"/>
                  </a:gs>
                  <a:gs pos="100000">
                    <a:schemeClr val="accent1">
                      <a:lumMod val="30000"/>
                      <a:lumOff val="70000"/>
                    </a:schemeClr>
                  </a:gs>
                </a:gsLst>
                <a:lin ang="5400000" scaled="1"/>
              </a:gradFill>
              <a:ln w="19050">
                <a:solidFill>
                  <a:schemeClr val="bg1">
                    <a:lumMod val="50000"/>
                  </a:schemeClr>
                </a:solidFill>
              </a:ln>
              <a:effectLst/>
            </c:spPr>
            <c:extLst>
              <c:ext xmlns:c16="http://schemas.microsoft.com/office/drawing/2014/chart" uri="{C3380CC4-5D6E-409C-BE32-E72D297353CC}">
                <c16:uniqueId val="{00000001-C7AD-48A0-A37B-6F8D941D057E}"/>
              </c:ext>
            </c:extLst>
          </c:dPt>
          <c:dPt>
            <c:idx val="1"/>
            <c:bubble3D val="0"/>
            <c:spPr>
              <a:gradFill>
                <a:gsLst>
                  <a:gs pos="20000">
                    <a:schemeClr val="accent1">
                      <a:lumMod val="50000"/>
                    </a:schemeClr>
                  </a:gs>
                  <a:gs pos="87000">
                    <a:schemeClr val="accent1">
                      <a:lumMod val="60000"/>
                      <a:lumOff val="40000"/>
                    </a:schemeClr>
                  </a:gs>
                  <a:gs pos="100000">
                    <a:schemeClr val="accent1">
                      <a:lumMod val="30000"/>
                      <a:lumOff val="70000"/>
                    </a:schemeClr>
                  </a:gs>
                </a:gsLst>
                <a:lin ang="5400000" scaled="1"/>
              </a:gradFill>
              <a:ln w="19050">
                <a:solidFill>
                  <a:schemeClr val="bg1">
                    <a:lumMod val="50000"/>
                  </a:schemeClr>
                </a:solidFill>
              </a:ln>
              <a:effectLst/>
            </c:spPr>
            <c:extLst>
              <c:ext xmlns:c16="http://schemas.microsoft.com/office/drawing/2014/chart" uri="{C3380CC4-5D6E-409C-BE32-E72D297353CC}">
                <c16:uniqueId val="{00000003-C7AD-48A0-A37B-6F8D941D057E}"/>
              </c:ext>
            </c:extLst>
          </c:dPt>
          <c:dPt>
            <c:idx val="2"/>
            <c:bubble3D val="0"/>
            <c:spPr>
              <a:gradFill>
                <a:gsLst>
                  <a:gs pos="26000">
                    <a:schemeClr val="tx1">
                      <a:lumMod val="65000"/>
                      <a:lumOff val="35000"/>
                    </a:schemeClr>
                  </a:gs>
                  <a:gs pos="100000">
                    <a:schemeClr val="tx1">
                      <a:lumMod val="85000"/>
                      <a:lumOff val="15000"/>
                    </a:schemeClr>
                  </a:gs>
                  <a:gs pos="100000">
                    <a:schemeClr val="accent1">
                      <a:lumMod val="30000"/>
                      <a:lumOff val="70000"/>
                    </a:schemeClr>
                  </a:gs>
                </a:gsLst>
                <a:lin ang="5400000" scaled="1"/>
              </a:gradFill>
              <a:ln w="19050">
                <a:solidFill>
                  <a:schemeClr val="bg1">
                    <a:lumMod val="50000"/>
                  </a:schemeClr>
                </a:solidFill>
              </a:ln>
              <a:effectLst/>
            </c:spPr>
            <c:extLst>
              <c:ext xmlns:c16="http://schemas.microsoft.com/office/drawing/2014/chart" uri="{C3380CC4-5D6E-409C-BE32-E72D297353CC}">
                <c16:uniqueId val="{00000005-C7AD-48A0-A37B-6F8D941D05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Sheet6!$A$4:$A$7</c:f>
              <c:strCache>
                <c:ptCount val="3"/>
                <c:pt idx="0">
                  <c:v>HR</c:v>
                </c:pt>
                <c:pt idx="1">
                  <c:v>R&amp;D</c:v>
                </c:pt>
                <c:pt idx="2">
                  <c:v>Sales</c:v>
                </c:pt>
              </c:strCache>
            </c:strRef>
          </c:cat>
          <c:val>
            <c:numRef>
              <c:f>Sheet6!$B$4:$B$7</c:f>
              <c:numCache>
                <c:formatCode>0.00%</c:formatCode>
                <c:ptCount val="3"/>
                <c:pt idx="0">
                  <c:v>0.04</c:v>
                </c:pt>
                <c:pt idx="1">
                  <c:v>0.6</c:v>
                </c:pt>
                <c:pt idx="2">
                  <c:v>0.36</c:v>
                </c:pt>
              </c:numCache>
            </c:numRef>
          </c:val>
          <c:extLst>
            <c:ext xmlns:c16="http://schemas.microsoft.com/office/drawing/2014/chart" uri="{C3380CC4-5D6E-409C-BE32-E72D297353CC}">
              <c16:uniqueId val="{00000006-C7AD-48A0-A37B-6F8D941D057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6368269290941837"/>
          <c:y val="0.27652560029546092"/>
          <c:w val="0.21965061368052666"/>
          <c:h val="0.3742954600030051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Dashboard.xlsx]Sheet7!age</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C000"/>
              </a:gs>
              <a:gs pos="100000">
                <a:schemeClr val="bg2">
                  <a:lumMod val="50000"/>
                </a:schemeClr>
              </a:gs>
              <a:gs pos="74000">
                <a:srgbClr val="EF6F0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FFC000"/>
              </a:gs>
              <a:gs pos="100000">
                <a:schemeClr val="bg2">
                  <a:lumMod val="50000"/>
                </a:schemeClr>
              </a:gs>
              <a:gs pos="74000">
                <a:srgbClr val="EF6F0F"/>
              </a:gs>
            </a:gsLst>
            <a:lin ang="5400000" scaled="1"/>
          </a:gradFill>
          <a:ln>
            <a:noFill/>
          </a:ln>
          <a:effectLst/>
        </c:spPr>
      </c:pivotFmt>
    </c:pivotFmts>
    <c:plotArea>
      <c:layout>
        <c:manualLayout>
          <c:layoutTarget val="inner"/>
          <c:xMode val="edge"/>
          <c:yMode val="edge"/>
          <c:x val="5.4574029209946327E-2"/>
          <c:y val="0.1034499882119911"/>
          <c:w val="0.90738478703970427"/>
          <c:h val="0.77888660809924692"/>
        </c:manualLayout>
      </c:layout>
      <c:barChart>
        <c:barDir val="col"/>
        <c:grouping val="clustered"/>
        <c:varyColors val="0"/>
        <c:ser>
          <c:idx val="0"/>
          <c:order val="0"/>
          <c:tx>
            <c:strRef>
              <c:f>Sheet7!$B$3</c:f>
              <c:strCache>
                <c:ptCount val="1"/>
                <c:pt idx="0">
                  <c:v>Total</c:v>
                </c:pt>
              </c:strCache>
            </c:strRef>
          </c:tx>
          <c:spPr>
            <a:gradFill>
              <a:gsLst>
                <a:gs pos="0">
                  <a:srgbClr val="FFC000"/>
                </a:gs>
                <a:gs pos="100000">
                  <a:schemeClr val="bg2">
                    <a:lumMod val="50000"/>
                  </a:schemeClr>
                </a:gs>
                <a:gs pos="74000">
                  <a:srgbClr val="EF6F0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Sheet7!$A$4:$A$9</c:f>
              <c:strCache>
                <c:ptCount val="5"/>
                <c:pt idx="0">
                  <c:v>25 - 34</c:v>
                </c:pt>
                <c:pt idx="1">
                  <c:v>35 - 44</c:v>
                </c:pt>
                <c:pt idx="2">
                  <c:v>Under 25</c:v>
                </c:pt>
                <c:pt idx="3">
                  <c:v>45 - 54</c:v>
                </c:pt>
                <c:pt idx="4">
                  <c:v>Over 55</c:v>
                </c:pt>
              </c:strCache>
            </c:strRef>
          </c:cat>
          <c:val>
            <c:numRef>
              <c:f>Sheet7!$B$4:$B$9</c:f>
              <c:numCache>
                <c:formatCode>General</c:formatCode>
                <c:ptCount val="5"/>
                <c:pt idx="0">
                  <c:v>69</c:v>
                </c:pt>
                <c:pt idx="1">
                  <c:v>37</c:v>
                </c:pt>
                <c:pt idx="2">
                  <c:v>20</c:v>
                </c:pt>
                <c:pt idx="3">
                  <c:v>16</c:v>
                </c:pt>
                <c:pt idx="4">
                  <c:v>8</c:v>
                </c:pt>
              </c:numCache>
            </c:numRef>
          </c:val>
          <c:extLst>
            <c:ext xmlns:c16="http://schemas.microsoft.com/office/drawing/2014/chart" uri="{C3380CC4-5D6E-409C-BE32-E72D297353CC}">
              <c16:uniqueId val="{00000000-FA52-45D4-B2A7-5FC0F5F6BABD}"/>
            </c:ext>
          </c:extLst>
        </c:ser>
        <c:dLbls>
          <c:showLegendKey val="0"/>
          <c:showVal val="0"/>
          <c:showCatName val="0"/>
          <c:showSerName val="0"/>
          <c:showPercent val="0"/>
          <c:showBubbleSize val="0"/>
        </c:dLbls>
        <c:gapWidth val="104"/>
        <c:overlap val="-27"/>
        <c:axId val="1715524847"/>
        <c:axId val="1715525807"/>
      </c:barChart>
      <c:catAx>
        <c:axId val="171552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525807"/>
        <c:crosses val="autoZero"/>
        <c:auto val="1"/>
        <c:lblAlgn val="ctr"/>
        <c:lblOffset val="100"/>
        <c:noMultiLvlLbl val="0"/>
      </c:catAx>
      <c:valAx>
        <c:axId val="1715525807"/>
        <c:scaling>
          <c:orientation val="minMax"/>
        </c:scaling>
        <c:delete val="1"/>
        <c:axPos val="l"/>
        <c:numFmt formatCode="General" sourceLinked="1"/>
        <c:majorTickMark val="none"/>
        <c:minorTickMark val="none"/>
        <c:tickLblPos val="nextTo"/>
        <c:crossAx val="1715524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7B-4B34-8B4C-D04C7E01BD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7B-4B34-8B4C-D04C7E01BDF0}"/>
              </c:ext>
            </c:extLst>
          </c:dPt>
          <c:val>
            <c:numRef>
              <c:f>Sheet2!$C$6:$C$7</c:f>
              <c:numCache>
                <c:formatCode>0.00</c:formatCode>
                <c:ptCount val="2"/>
                <c:pt idx="0">
                  <c:v>0.66326530612244894</c:v>
                </c:pt>
                <c:pt idx="1">
                  <c:v>0.33673469387755106</c:v>
                </c:pt>
              </c:numCache>
            </c:numRef>
          </c:val>
          <c:extLst>
            <c:ext xmlns:c16="http://schemas.microsoft.com/office/drawing/2014/chart" uri="{C3380CC4-5D6E-409C-BE32-E72D297353CC}">
              <c16:uniqueId val="{00000000-932E-4FA2-9338-38C174827B94}"/>
            </c:ext>
          </c:extLst>
        </c:ser>
        <c:dLbls>
          <c:showLegendKey val="0"/>
          <c:showVal val="0"/>
          <c:showCatName val="0"/>
          <c:showSerName val="0"/>
          <c:showPercent val="0"/>
          <c:showBubbleSize val="0"/>
          <c:showLeaderLines val="1"/>
        </c:dLbls>
        <c:firstSliceAng val="0"/>
        <c:holeSize val="5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7E0000"/>
            </a:solidFill>
            <a:ln>
              <a:noFill/>
            </a:ln>
            <a:effectLst/>
          </c:spPr>
          <c:invertIfNegative val="0"/>
          <c:val>
            <c:numRef>
              <c:f>Sheet2!$B$6</c:f>
              <c:numCache>
                <c:formatCode>0.0</c:formatCode>
                <c:ptCount val="1"/>
                <c:pt idx="0">
                  <c:v>2.6530612244897958</c:v>
                </c:pt>
              </c:numCache>
            </c:numRef>
          </c:val>
          <c:extLst>
            <c:ext xmlns:c16="http://schemas.microsoft.com/office/drawing/2014/chart" uri="{C3380CC4-5D6E-409C-BE32-E72D297353CC}">
              <c16:uniqueId val="{00000000-88C3-4058-9294-52F3D6542C05}"/>
            </c:ext>
          </c:extLst>
        </c:ser>
        <c:ser>
          <c:idx val="1"/>
          <c:order val="1"/>
          <c:spPr>
            <a:noFill/>
            <a:ln>
              <a:noFill/>
            </a:ln>
            <a:effectLst/>
          </c:spPr>
          <c:invertIfNegative val="0"/>
          <c:val>
            <c:numRef>
              <c:f>Sheet2!$B$7</c:f>
              <c:numCache>
                <c:formatCode>0.0</c:formatCode>
                <c:ptCount val="1"/>
                <c:pt idx="0">
                  <c:v>1.3469387755102042</c:v>
                </c:pt>
              </c:numCache>
            </c:numRef>
          </c:val>
          <c:extLst>
            <c:ext xmlns:c16="http://schemas.microsoft.com/office/drawing/2014/chart" uri="{C3380CC4-5D6E-409C-BE32-E72D297353CC}">
              <c16:uniqueId val="{00000001-88C3-4058-9294-52F3D6542C05}"/>
            </c:ext>
          </c:extLst>
        </c:ser>
        <c:dLbls>
          <c:showLegendKey val="0"/>
          <c:showVal val="0"/>
          <c:showCatName val="0"/>
          <c:showSerName val="0"/>
          <c:showPercent val="0"/>
          <c:showBubbleSize val="0"/>
        </c:dLbls>
        <c:gapWidth val="270"/>
        <c:overlap val="100"/>
        <c:axId val="1330535167"/>
        <c:axId val="1330535647"/>
      </c:barChart>
      <c:catAx>
        <c:axId val="1330535167"/>
        <c:scaling>
          <c:orientation val="minMax"/>
        </c:scaling>
        <c:delete val="1"/>
        <c:axPos val="l"/>
        <c:majorTickMark val="out"/>
        <c:minorTickMark val="none"/>
        <c:tickLblPos val="nextTo"/>
        <c:crossAx val="1330535647"/>
        <c:crosses val="autoZero"/>
        <c:auto val="1"/>
        <c:lblAlgn val="ctr"/>
        <c:lblOffset val="100"/>
        <c:noMultiLvlLbl val="0"/>
      </c:catAx>
      <c:valAx>
        <c:axId val="1330535647"/>
        <c:scaling>
          <c:orientation val="minMax"/>
          <c:max val="4"/>
        </c:scaling>
        <c:delete val="1"/>
        <c:axPos val="b"/>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crossAx val="1330535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24-4A16-965D-216729050E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24-4A16-965D-216729050ED5}"/>
              </c:ext>
            </c:extLst>
          </c:dPt>
          <c:val>
            <c:numRef>
              <c:f>Sheet3!$C$8:$C$9</c:f>
              <c:numCache>
                <c:formatCode>0%</c:formatCode>
                <c:ptCount val="2"/>
                <c:pt idx="0">
                  <c:v>0</c:v>
                </c:pt>
                <c:pt idx="1">
                  <c:v>1</c:v>
                </c:pt>
              </c:numCache>
            </c:numRef>
          </c:val>
          <c:extLst>
            <c:ext xmlns:c16="http://schemas.microsoft.com/office/drawing/2014/chart" uri="{C3380CC4-5D6E-409C-BE32-E72D297353CC}">
              <c16:uniqueId val="{00000000-ED89-4B0C-BCE2-02DE89C26A0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Dashboard.xlsx]Sheet4!edu</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Sheet4!$A$4:$A$9</c:f>
              <c:strCache>
                <c:ptCount val="5"/>
                <c:pt idx="0">
                  <c:v>Doctoral Degree</c:v>
                </c:pt>
                <c:pt idx="1">
                  <c:v>High School</c:v>
                </c:pt>
                <c:pt idx="2">
                  <c:v>Associates Degree</c:v>
                </c:pt>
                <c:pt idx="3">
                  <c:v>Master's Degree</c:v>
                </c:pt>
                <c:pt idx="4">
                  <c:v>Bachelor's Degree</c:v>
                </c:pt>
              </c:strCache>
            </c:strRef>
          </c:cat>
          <c:val>
            <c:numRef>
              <c:f>Sheet4!$B$4:$B$9</c:f>
              <c:numCache>
                <c:formatCode>General</c:formatCode>
                <c:ptCount val="5"/>
                <c:pt idx="0">
                  <c:v>2</c:v>
                </c:pt>
                <c:pt idx="1">
                  <c:v>20</c:v>
                </c:pt>
                <c:pt idx="2">
                  <c:v>25</c:v>
                </c:pt>
                <c:pt idx="3">
                  <c:v>42</c:v>
                </c:pt>
                <c:pt idx="4">
                  <c:v>61</c:v>
                </c:pt>
              </c:numCache>
            </c:numRef>
          </c:val>
          <c:extLst>
            <c:ext xmlns:c16="http://schemas.microsoft.com/office/drawing/2014/chart" uri="{C3380CC4-5D6E-409C-BE32-E72D297353CC}">
              <c16:uniqueId val="{00000000-BA5B-4520-A121-FA5B6ADC92B0}"/>
            </c:ext>
          </c:extLst>
        </c:ser>
        <c:dLbls>
          <c:dLblPos val="outEnd"/>
          <c:showLegendKey val="0"/>
          <c:showVal val="1"/>
          <c:showCatName val="0"/>
          <c:showSerName val="0"/>
          <c:showPercent val="0"/>
          <c:showBubbleSize val="0"/>
        </c:dLbls>
        <c:gapWidth val="182"/>
        <c:axId val="1571771007"/>
        <c:axId val="1571771967"/>
      </c:barChart>
      <c:catAx>
        <c:axId val="15717710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771967"/>
        <c:crosses val="autoZero"/>
        <c:auto val="1"/>
        <c:lblAlgn val="ctr"/>
        <c:lblOffset val="100"/>
        <c:noMultiLvlLbl val="0"/>
      </c:catAx>
      <c:valAx>
        <c:axId val="1571771967"/>
        <c:scaling>
          <c:orientation val="minMax"/>
        </c:scaling>
        <c:delete val="1"/>
        <c:axPos val="b"/>
        <c:numFmt formatCode="General" sourceLinked="1"/>
        <c:majorTickMark val="out"/>
        <c:minorTickMark val="none"/>
        <c:tickLblPos val="nextTo"/>
        <c:crossAx val="1571771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Dashboard.xlsx]Sheet6!dept</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86-4192-BFE8-2D581D16DC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86-4192-BFE8-2D581D16DC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86-4192-BFE8-2D581D16DCD6}"/>
              </c:ext>
            </c:extLst>
          </c:dPt>
          <c:cat>
            <c:strRef>
              <c:f>Sheet6!$A$4:$A$7</c:f>
              <c:strCache>
                <c:ptCount val="3"/>
                <c:pt idx="0">
                  <c:v>HR</c:v>
                </c:pt>
                <c:pt idx="1">
                  <c:v>R&amp;D</c:v>
                </c:pt>
                <c:pt idx="2">
                  <c:v>Sales</c:v>
                </c:pt>
              </c:strCache>
            </c:strRef>
          </c:cat>
          <c:val>
            <c:numRef>
              <c:f>Sheet6!$B$4:$B$7</c:f>
              <c:numCache>
                <c:formatCode>0.00%</c:formatCode>
                <c:ptCount val="3"/>
                <c:pt idx="0">
                  <c:v>0.04</c:v>
                </c:pt>
                <c:pt idx="1">
                  <c:v>0.6</c:v>
                </c:pt>
                <c:pt idx="2">
                  <c:v>0.36</c:v>
                </c:pt>
              </c:numCache>
            </c:numRef>
          </c:val>
          <c:extLst>
            <c:ext xmlns:c16="http://schemas.microsoft.com/office/drawing/2014/chart" uri="{C3380CC4-5D6E-409C-BE32-E72D297353CC}">
              <c16:uniqueId val="{00000000-BF47-4E41-B8FE-3638CE43DE5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1666666666666665"/>
          <c:y val="0.35380796150481192"/>
          <c:w val="0.16666666666666666"/>
          <c:h val="0.297013342082239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Dashboard.xlsx]Sheet7!age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Sheet7!$A$4:$A$9</c:f>
              <c:strCache>
                <c:ptCount val="5"/>
                <c:pt idx="0">
                  <c:v>25 - 34</c:v>
                </c:pt>
                <c:pt idx="1">
                  <c:v>35 - 44</c:v>
                </c:pt>
                <c:pt idx="2">
                  <c:v>Under 25</c:v>
                </c:pt>
                <c:pt idx="3">
                  <c:v>45 - 54</c:v>
                </c:pt>
                <c:pt idx="4">
                  <c:v>Over 55</c:v>
                </c:pt>
              </c:strCache>
            </c:strRef>
          </c:cat>
          <c:val>
            <c:numRef>
              <c:f>Sheet7!$B$4:$B$9</c:f>
              <c:numCache>
                <c:formatCode>General</c:formatCode>
                <c:ptCount val="5"/>
                <c:pt idx="0">
                  <c:v>69</c:v>
                </c:pt>
                <c:pt idx="1">
                  <c:v>37</c:v>
                </c:pt>
                <c:pt idx="2">
                  <c:v>20</c:v>
                </c:pt>
                <c:pt idx="3">
                  <c:v>16</c:v>
                </c:pt>
                <c:pt idx="4">
                  <c:v>8</c:v>
                </c:pt>
              </c:numCache>
            </c:numRef>
          </c:val>
          <c:extLst>
            <c:ext xmlns:c16="http://schemas.microsoft.com/office/drawing/2014/chart" uri="{C3380CC4-5D6E-409C-BE32-E72D297353CC}">
              <c16:uniqueId val="{00000000-0E18-48AB-BA3E-3603BEDC1CC7}"/>
            </c:ext>
          </c:extLst>
        </c:ser>
        <c:dLbls>
          <c:showLegendKey val="0"/>
          <c:showVal val="0"/>
          <c:showCatName val="0"/>
          <c:showSerName val="0"/>
          <c:showPercent val="0"/>
          <c:showBubbleSize val="0"/>
        </c:dLbls>
        <c:gapWidth val="219"/>
        <c:overlap val="-27"/>
        <c:axId val="1715524847"/>
        <c:axId val="1715525807"/>
      </c:barChart>
      <c:catAx>
        <c:axId val="171552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525807"/>
        <c:crosses val="autoZero"/>
        <c:auto val="1"/>
        <c:lblAlgn val="ctr"/>
        <c:lblOffset val="100"/>
        <c:noMultiLvlLbl val="0"/>
      </c:catAx>
      <c:valAx>
        <c:axId val="1715525807"/>
        <c:scaling>
          <c:orientation val="minMax"/>
        </c:scaling>
        <c:delete val="1"/>
        <c:axPos val="l"/>
        <c:numFmt formatCode="General" sourceLinked="1"/>
        <c:majorTickMark val="none"/>
        <c:minorTickMark val="none"/>
        <c:tickLblPos val="nextTo"/>
        <c:crossAx val="1715524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E097339E-0BD7-4DFB-9F4D-7B9FDB6D6A38}">
          <cx:spPr>
            <a:ln>
              <a:solidFill>
                <a:srgbClr val="00518E"/>
              </a:solidFill>
            </a:ln>
          </cx:spPr>
          <cx:dataPt idx="2">
            <cx:spPr>
              <a:solidFill>
                <a:srgbClr val="00518E"/>
              </a:solidFill>
              <a:ln>
                <a:solidFill>
                  <a:srgbClr val="FFFFFF">
                    <a:lumMod val="95000"/>
                  </a:srgbClr>
                </a:solidFill>
              </a:ln>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E1A8AD11-CD8B-4516-86BA-DD48EF28B259}">
          <cx:tx>
            <cx:txData>
              <cx:f>_xlchart.v2.3</cx:f>
              <cx:v>att</cx:v>
            </cx:txData>
          </cx:tx>
          <cx:spPr>
            <a:gradFill flip="none" rotWithShape="1">
              <a:gsLst>
                <a:gs pos="38000">
                  <a:schemeClr val="accent6">
                    <a:lumMod val="50000"/>
                  </a:schemeClr>
                </a:gs>
                <a:gs pos="100000">
                  <a:srgbClr val="92D050"/>
                </a:gs>
              </a:gsLst>
              <a:lin ang="16200000" scaled="1"/>
              <a:tileRect/>
            </a:gradFill>
          </cx:spPr>
          <cx:dataLabels>
            <cx:txPr>
              <a:bodyPr spcFirstLastPara="1" vertOverflow="ellipsis" horzOverflow="overflow" wrap="square" lIns="0" tIns="0" rIns="0" bIns="0" anchor="ctr" anchorCtr="1"/>
              <a:lstStyle/>
              <a:p>
                <a:pPr algn="ctr" rtl="0">
                  <a:defRPr sz="1000">
                    <a:solidFill>
                      <a:schemeClr val="bg2"/>
                    </a:solidFill>
                  </a:defRPr>
                </a:pPr>
                <a:endParaRPr lang="en-US" sz="1000" b="0" i="0" u="none" strike="noStrike" baseline="0">
                  <a:solidFill>
                    <a:schemeClr val="bg2"/>
                  </a:solidFill>
                  <a:latin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50" b="1"/>
            </a:pPr>
            <a:endParaRPr lang="en-US" sz="1050" b="1" i="0" u="none" strike="noStrike" baseline="0">
              <a:solidFill>
                <a:srgbClr val="000000">
                  <a:lumMod val="65000"/>
                  <a:lumOff val="35000"/>
                </a:srgbClr>
              </a:solidFill>
              <a:latin typeface="Calibri"/>
              <a:cs typeface="Calibri"/>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E097339E-0BD7-4DFB-9F4D-7B9FDB6D6A38}">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E1A8AD11-CD8B-4516-86BA-DD48EF28B259}">
          <cx:tx>
            <cx:txData>
              <cx:f>_xlchart.v2.8</cx:f>
              <cx:v>att</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svg"/><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5.xml"/><Relationship Id="rId20"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3.xml"/><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microsoft.com/office/2014/relationships/chartEx" Target="../charts/chartEx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2" Type="http://schemas.microsoft.com/office/2014/relationships/chartEx" Target="../charts/chartEx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absolute">
    <xdr:from>
      <xdr:col>1</xdr:col>
      <xdr:colOff>544286</xdr:colOff>
      <xdr:row>2</xdr:row>
      <xdr:rowOff>108856</xdr:rowOff>
    </xdr:from>
    <xdr:to>
      <xdr:col>25</xdr:col>
      <xdr:colOff>424092</xdr:colOff>
      <xdr:row>41</xdr:row>
      <xdr:rowOff>118381</xdr:rowOff>
    </xdr:to>
    <xdr:grpSp>
      <xdr:nvGrpSpPr>
        <xdr:cNvPr id="20" name="Group 19">
          <a:extLst>
            <a:ext uri="{FF2B5EF4-FFF2-40B4-BE49-F238E27FC236}">
              <a16:creationId xmlns:a16="http://schemas.microsoft.com/office/drawing/2014/main" id="{19A13603-7FBD-4777-A62F-8E5E0121ED55}"/>
            </a:ext>
          </a:extLst>
        </xdr:cNvPr>
        <xdr:cNvGrpSpPr/>
      </xdr:nvGrpSpPr>
      <xdr:grpSpPr>
        <a:xfrm>
          <a:off x="1193718" y="484083"/>
          <a:ext cx="15466169" cy="7326457"/>
          <a:chOff x="1185059" y="489856"/>
          <a:chExt cx="15258351" cy="7439025"/>
        </a:xfrm>
      </xdr:grpSpPr>
      <xdr:grpSp>
        <xdr:nvGrpSpPr>
          <xdr:cNvPr id="2" name="Shape 2">
            <a:extLst>
              <a:ext uri="{FF2B5EF4-FFF2-40B4-BE49-F238E27FC236}">
                <a16:creationId xmlns:a16="http://schemas.microsoft.com/office/drawing/2014/main" id="{00000000-0008-0000-0300-000002000000}"/>
              </a:ext>
            </a:extLst>
          </xdr:cNvPr>
          <xdr:cNvGrpSpPr/>
        </xdr:nvGrpSpPr>
        <xdr:grpSpPr>
          <a:xfrm>
            <a:off x="1689185" y="489856"/>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b="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a:solidFill>
                      <a:schemeClr val="lt1"/>
                    </a:solidFill>
                    <a:latin typeface="Calibri"/>
                    <a:ea typeface="Calibri"/>
                    <a:cs typeface="Calibri"/>
                    <a:sym typeface="Calibri"/>
                  </a:rPr>
                  <a:t>`</a:t>
                </a:r>
                <a:endParaRPr sz="1400" b="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b="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sp macro="" textlink="">
        <xdr:nvSpPr>
          <xdr:cNvPr id="3" name="TextBox 2">
            <a:extLst>
              <a:ext uri="{FF2B5EF4-FFF2-40B4-BE49-F238E27FC236}">
                <a16:creationId xmlns:a16="http://schemas.microsoft.com/office/drawing/2014/main" id="{4E83A60F-52B1-37C3-7A88-4804FCA8946A}"/>
              </a:ext>
            </a:extLst>
          </xdr:cNvPr>
          <xdr:cNvSpPr txBox="1"/>
        </xdr:nvSpPr>
        <xdr:spPr>
          <a:xfrm rot="10800000" flipV="1">
            <a:off x="1730580" y="1524000"/>
            <a:ext cx="2726377" cy="449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0">
                <a:solidFill>
                  <a:srgbClr val="7E0000"/>
                </a:solidFill>
                <a:latin typeface="Arial Rounded MT Bold" panose="020F0704030504030204" pitchFamily="34" charset="0"/>
              </a:rPr>
              <a:t>Total Employees</a:t>
            </a:r>
          </a:p>
        </xdr:txBody>
      </xdr:sp>
      <xdr:sp macro="" textlink="Sheet1!A7">
        <xdr:nvSpPr>
          <xdr:cNvPr id="5" name="TextBox 4">
            <a:extLst>
              <a:ext uri="{FF2B5EF4-FFF2-40B4-BE49-F238E27FC236}">
                <a16:creationId xmlns:a16="http://schemas.microsoft.com/office/drawing/2014/main" id="{6D272BF4-F72B-CC8C-A530-F2387AFC0BC0}"/>
              </a:ext>
            </a:extLst>
          </xdr:cNvPr>
          <xdr:cNvSpPr txBox="1"/>
        </xdr:nvSpPr>
        <xdr:spPr>
          <a:xfrm>
            <a:off x="1783647" y="1856015"/>
            <a:ext cx="236034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02B68D2-2254-4459-8BA8-D0DFB540B695}" type="TxLink">
              <a:rPr lang="en-US" sz="2400" b="0" i="0" u="none" strike="noStrike">
                <a:solidFill>
                  <a:srgbClr val="002060"/>
                </a:solidFill>
                <a:latin typeface="Arial Rounded MT Bold" panose="020F0704030504030204" pitchFamily="34" charset="0"/>
                <a:cs typeface="Calibri"/>
              </a:rPr>
              <a:pPr algn="ctr"/>
              <a:t>882</a:t>
            </a:fld>
            <a:endParaRPr lang="en-IN" sz="2400">
              <a:solidFill>
                <a:srgbClr val="002060"/>
              </a:solidFill>
              <a:latin typeface="Arial Rounded MT Bold" panose="020F0704030504030204" pitchFamily="34" charset="0"/>
            </a:endParaRPr>
          </a:p>
        </xdr:txBody>
      </xdr:sp>
      <xdr:sp macro="" textlink="">
        <xdr:nvSpPr>
          <xdr:cNvPr id="6" name="TextBox 5">
            <a:extLst>
              <a:ext uri="{FF2B5EF4-FFF2-40B4-BE49-F238E27FC236}">
                <a16:creationId xmlns:a16="http://schemas.microsoft.com/office/drawing/2014/main" id="{FE4ADC26-0F3E-4F3F-9351-D26EE6358A87}"/>
              </a:ext>
            </a:extLst>
          </xdr:cNvPr>
          <xdr:cNvSpPr txBox="1"/>
        </xdr:nvSpPr>
        <xdr:spPr>
          <a:xfrm rot="10800000" flipV="1">
            <a:off x="10591776" y="1510582"/>
            <a:ext cx="2441990" cy="449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a:solidFill>
                  <a:srgbClr val="7E0000"/>
                </a:solidFill>
                <a:latin typeface="Arial Rounded MT Bold" panose="020F0704030504030204" pitchFamily="34" charset="0"/>
              </a:rPr>
              <a:t>Attrition Rate</a:t>
            </a:r>
          </a:p>
        </xdr:txBody>
      </xdr:sp>
      <xdr:sp macro="" textlink="Sheet1!D7">
        <xdr:nvSpPr>
          <xdr:cNvPr id="7" name="TextBox 6">
            <a:extLst>
              <a:ext uri="{FF2B5EF4-FFF2-40B4-BE49-F238E27FC236}">
                <a16:creationId xmlns:a16="http://schemas.microsoft.com/office/drawing/2014/main" id="{F8F17CD4-8668-483B-ABE7-896B02BAC0CB}"/>
              </a:ext>
            </a:extLst>
          </xdr:cNvPr>
          <xdr:cNvSpPr txBox="1"/>
        </xdr:nvSpPr>
        <xdr:spPr>
          <a:xfrm>
            <a:off x="7633608" y="1815192"/>
            <a:ext cx="2360344"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C9AFEC8-A4E1-4B16-B8A3-4FBE9583A541}" type="TxLink">
              <a:rPr lang="en-US" sz="2400" b="0" i="0" u="none" strike="noStrike">
                <a:solidFill>
                  <a:srgbClr val="002060"/>
                </a:solidFill>
                <a:latin typeface="Arial Rounded MT Bold" panose="020F0704030504030204" pitchFamily="34" charset="0"/>
                <a:cs typeface="Calibri"/>
              </a:rPr>
              <a:pPr algn="ctr"/>
              <a:t>732</a:t>
            </a:fld>
            <a:endParaRPr lang="en-IN" sz="2400">
              <a:solidFill>
                <a:srgbClr val="002060"/>
              </a:solidFill>
              <a:latin typeface="Arial Rounded MT Bold" panose="020F0704030504030204" pitchFamily="34" charset="0"/>
            </a:endParaRPr>
          </a:p>
        </xdr:txBody>
      </xdr:sp>
      <xdr:sp macro="" textlink="">
        <xdr:nvSpPr>
          <xdr:cNvPr id="8" name="TextBox 7">
            <a:extLst>
              <a:ext uri="{FF2B5EF4-FFF2-40B4-BE49-F238E27FC236}">
                <a16:creationId xmlns:a16="http://schemas.microsoft.com/office/drawing/2014/main" id="{4E1C0621-0895-4A77-A363-79CB8B763BBB}"/>
              </a:ext>
            </a:extLst>
          </xdr:cNvPr>
          <xdr:cNvSpPr txBox="1"/>
        </xdr:nvSpPr>
        <xdr:spPr>
          <a:xfrm rot="10800000" flipV="1">
            <a:off x="7683088" y="1527712"/>
            <a:ext cx="2621603" cy="506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a:solidFill>
                  <a:srgbClr val="7E0000"/>
                </a:solidFill>
                <a:latin typeface="Arial Rounded MT Bold" panose="020F0704030504030204" pitchFamily="34" charset="0"/>
              </a:rPr>
              <a:t>Active</a:t>
            </a:r>
            <a:r>
              <a:rPr lang="en-IN" sz="1800" baseline="0">
                <a:solidFill>
                  <a:srgbClr val="7E0000"/>
                </a:solidFill>
                <a:latin typeface="Arial Rounded MT Bold" panose="020F0704030504030204" pitchFamily="34" charset="0"/>
              </a:rPr>
              <a:t> Employees</a:t>
            </a:r>
            <a:endParaRPr lang="en-IN" sz="1800">
              <a:solidFill>
                <a:srgbClr val="7E0000"/>
              </a:solidFill>
              <a:latin typeface="Arial Rounded MT Bold" panose="020F0704030504030204" pitchFamily="34" charset="0"/>
            </a:endParaRPr>
          </a:p>
        </xdr:txBody>
      </xdr:sp>
      <xdr:sp macro="" textlink="Sheet1!E7">
        <xdr:nvSpPr>
          <xdr:cNvPr id="9" name="TextBox 8">
            <a:extLst>
              <a:ext uri="{FF2B5EF4-FFF2-40B4-BE49-F238E27FC236}">
                <a16:creationId xmlns:a16="http://schemas.microsoft.com/office/drawing/2014/main" id="{33A9D609-DE57-4874-A239-F83C33FABB73}"/>
              </a:ext>
            </a:extLst>
          </xdr:cNvPr>
          <xdr:cNvSpPr txBox="1"/>
        </xdr:nvSpPr>
        <xdr:spPr>
          <a:xfrm>
            <a:off x="10539877" y="1830944"/>
            <a:ext cx="2360345" cy="459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EAE0499-256D-440F-BD7D-3F7CD28EE675}" type="TxLink">
              <a:rPr lang="en-US" sz="2400" b="0" i="0" u="none" strike="noStrike">
                <a:solidFill>
                  <a:srgbClr val="002060"/>
                </a:solidFill>
                <a:latin typeface="Arial Rounded MT Bold" panose="020F0704030504030204" pitchFamily="34" charset="0"/>
                <a:cs typeface="Calibri"/>
              </a:rPr>
              <a:pPr algn="ctr"/>
              <a:t>17.01%</a:t>
            </a:fld>
            <a:endParaRPr lang="en-IN" sz="2400">
              <a:solidFill>
                <a:srgbClr val="002060"/>
              </a:solidFill>
              <a:latin typeface="Arial Rounded MT Bold" panose="020F0704030504030204" pitchFamily="34" charset="0"/>
            </a:endParaRPr>
          </a:p>
        </xdr:txBody>
      </xdr:sp>
      <xdr:sp macro="" textlink="">
        <xdr:nvSpPr>
          <xdr:cNvPr id="10" name="TextBox 9">
            <a:extLst>
              <a:ext uri="{FF2B5EF4-FFF2-40B4-BE49-F238E27FC236}">
                <a16:creationId xmlns:a16="http://schemas.microsoft.com/office/drawing/2014/main" id="{61163DFA-D464-4EA9-86DF-0A8FF639A236}"/>
              </a:ext>
            </a:extLst>
          </xdr:cNvPr>
          <xdr:cNvSpPr txBox="1"/>
        </xdr:nvSpPr>
        <xdr:spPr>
          <a:xfrm rot="10800000" flipV="1">
            <a:off x="5398324" y="1502227"/>
            <a:ext cx="1820265" cy="449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a:solidFill>
                  <a:srgbClr val="7E0000"/>
                </a:solidFill>
                <a:latin typeface="Arial Rounded MT Bold" panose="020F0704030504030204" pitchFamily="34" charset="0"/>
              </a:rPr>
              <a:t>Attrition</a:t>
            </a:r>
          </a:p>
        </xdr:txBody>
      </xdr:sp>
      <xdr:sp macro="" textlink="Sheet1!B7">
        <xdr:nvSpPr>
          <xdr:cNvPr id="11" name="TextBox 10">
            <a:extLst>
              <a:ext uri="{FF2B5EF4-FFF2-40B4-BE49-F238E27FC236}">
                <a16:creationId xmlns:a16="http://schemas.microsoft.com/office/drawing/2014/main" id="{A130CB01-9913-43FC-8BB0-CB18382EBB14}"/>
              </a:ext>
            </a:extLst>
          </xdr:cNvPr>
          <xdr:cNvSpPr txBox="1"/>
        </xdr:nvSpPr>
        <xdr:spPr>
          <a:xfrm>
            <a:off x="4790019" y="1846891"/>
            <a:ext cx="2360345" cy="459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65227CB-F322-4963-8B32-A4B3B8C790C1}" type="TxLink">
              <a:rPr lang="en-US" sz="2400" b="0" i="0" u="none" strike="noStrike">
                <a:solidFill>
                  <a:srgbClr val="002060"/>
                </a:solidFill>
                <a:latin typeface="Arial Rounded MT Bold" panose="020F0704030504030204" pitchFamily="34" charset="0"/>
                <a:cs typeface="Calibri"/>
              </a:rPr>
              <a:pPr algn="ctr"/>
              <a:t>150</a:t>
            </a:fld>
            <a:endParaRPr lang="en-IN" sz="2400">
              <a:solidFill>
                <a:srgbClr val="002060"/>
              </a:solidFill>
              <a:latin typeface="Arial Rounded MT Bold" panose="020F0704030504030204" pitchFamily="34" charset="0"/>
            </a:endParaRPr>
          </a:p>
        </xdr:txBody>
      </xdr:sp>
      <xdr:sp macro="" textlink="">
        <xdr:nvSpPr>
          <xdr:cNvPr id="12" name="TextBox 11">
            <a:extLst>
              <a:ext uri="{FF2B5EF4-FFF2-40B4-BE49-F238E27FC236}">
                <a16:creationId xmlns:a16="http://schemas.microsoft.com/office/drawing/2014/main" id="{8DC2A733-AA29-405E-A7D1-04CC122AEA81}"/>
              </a:ext>
            </a:extLst>
          </xdr:cNvPr>
          <xdr:cNvSpPr txBox="1"/>
        </xdr:nvSpPr>
        <xdr:spPr>
          <a:xfrm rot="10800000" flipV="1">
            <a:off x="13565083" y="1523999"/>
            <a:ext cx="2440752" cy="449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a:solidFill>
                  <a:srgbClr val="7E0000"/>
                </a:solidFill>
                <a:latin typeface="Arial Rounded MT Bold" panose="020F0704030504030204" pitchFamily="34" charset="0"/>
              </a:rPr>
              <a:t>Average</a:t>
            </a:r>
            <a:r>
              <a:rPr lang="en-IN" sz="1800" baseline="0">
                <a:solidFill>
                  <a:srgbClr val="7E0000"/>
                </a:solidFill>
                <a:latin typeface="Arial Rounded MT Bold" panose="020F0704030504030204" pitchFamily="34" charset="0"/>
              </a:rPr>
              <a:t> Age</a:t>
            </a:r>
            <a:endParaRPr lang="en-IN" sz="1800">
              <a:solidFill>
                <a:srgbClr val="7E0000"/>
              </a:solidFill>
              <a:latin typeface="Arial Rounded MT Bold" panose="020F0704030504030204" pitchFamily="34" charset="0"/>
            </a:endParaRPr>
          </a:p>
        </xdr:txBody>
      </xdr:sp>
      <xdr:sp macro="" textlink="Sheet1!C7">
        <xdr:nvSpPr>
          <xdr:cNvPr id="13" name="TextBox 12">
            <a:extLst>
              <a:ext uri="{FF2B5EF4-FFF2-40B4-BE49-F238E27FC236}">
                <a16:creationId xmlns:a16="http://schemas.microsoft.com/office/drawing/2014/main" id="{DCC0A264-70BC-4352-9BDB-E4D819B693FD}"/>
              </a:ext>
            </a:extLst>
          </xdr:cNvPr>
          <xdr:cNvSpPr txBox="1"/>
        </xdr:nvSpPr>
        <xdr:spPr>
          <a:xfrm>
            <a:off x="13604757" y="1868855"/>
            <a:ext cx="2372714" cy="459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4E4D2F5-AA62-47E5-AF54-52B59178CDDF}" type="TxLink">
              <a:rPr lang="en-US" sz="2400" b="0" i="0" u="none" strike="noStrike">
                <a:solidFill>
                  <a:srgbClr val="002060"/>
                </a:solidFill>
                <a:latin typeface="Arial Rounded MT Bold" panose="020F0704030504030204" pitchFamily="34" charset="0"/>
                <a:cs typeface="Calibri"/>
              </a:rPr>
              <a:pPr algn="ctr"/>
              <a:t>37</a:t>
            </a:fld>
            <a:endParaRPr lang="en-IN" sz="2400">
              <a:solidFill>
                <a:srgbClr val="002060"/>
              </a:solidFill>
              <a:latin typeface="Arial Rounded MT Bold" panose="020F0704030504030204" pitchFamily="34" charset="0"/>
            </a:endParaRPr>
          </a:p>
        </xdr:txBody>
      </xdr:sp>
      <xdr:pic>
        <xdr:nvPicPr>
          <xdr:cNvPr id="14" name="image5.png">
            <a:extLst>
              <a:ext uri="{FF2B5EF4-FFF2-40B4-BE49-F238E27FC236}">
                <a16:creationId xmlns:a16="http://schemas.microsoft.com/office/drawing/2014/main" id="{7D088677-01EA-4FA9-A692-B3C37798FEB8}"/>
              </a:ext>
            </a:extLst>
          </xdr:cNvPr>
          <xdr:cNvPicPr preferRelativeResize="0"/>
        </xdr:nvPicPr>
        <xdr:blipFill>
          <a:blip xmlns:r="http://schemas.openxmlformats.org/officeDocument/2006/relationships" r:embed="rId1" cstate="print"/>
          <a:stretch>
            <a:fillRect/>
          </a:stretch>
        </xdr:blipFill>
        <xdr:spPr>
          <a:xfrm>
            <a:off x="4048744" y="1551214"/>
            <a:ext cx="333375" cy="314325"/>
          </a:xfrm>
          <a:prstGeom prst="rect">
            <a:avLst/>
          </a:prstGeom>
          <a:noFill/>
        </xdr:spPr>
      </xdr:pic>
      <xdr:pic>
        <xdr:nvPicPr>
          <xdr:cNvPr id="15" name="image4.png">
            <a:extLst>
              <a:ext uri="{FF2B5EF4-FFF2-40B4-BE49-F238E27FC236}">
                <a16:creationId xmlns:a16="http://schemas.microsoft.com/office/drawing/2014/main" id="{528DC2A5-8061-4C8A-B491-43E73BE2E364}"/>
              </a:ext>
            </a:extLst>
          </xdr:cNvPr>
          <xdr:cNvPicPr preferRelativeResize="0"/>
        </xdr:nvPicPr>
        <xdr:blipFill>
          <a:blip xmlns:r="http://schemas.openxmlformats.org/officeDocument/2006/relationships" r:embed="rId2" cstate="print"/>
          <a:stretch>
            <a:fillRect/>
          </a:stretch>
        </xdr:blipFill>
        <xdr:spPr>
          <a:xfrm>
            <a:off x="6777593" y="1523998"/>
            <a:ext cx="689883" cy="489859"/>
          </a:xfrm>
          <a:prstGeom prst="rect">
            <a:avLst/>
          </a:prstGeom>
          <a:noFill/>
        </xdr:spPr>
      </xdr:pic>
      <xdr:pic>
        <xdr:nvPicPr>
          <xdr:cNvPr id="16" name="image3.png">
            <a:extLst>
              <a:ext uri="{FF2B5EF4-FFF2-40B4-BE49-F238E27FC236}">
                <a16:creationId xmlns:a16="http://schemas.microsoft.com/office/drawing/2014/main" id="{76A0A30B-9A6C-457B-99FD-FB973867C99C}"/>
              </a:ext>
            </a:extLst>
          </xdr:cNvPr>
          <xdr:cNvPicPr preferRelativeResize="0"/>
        </xdr:nvPicPr>
        <xdr:blipFill>
          <a:blip xmlns:r="http://schemas.openxmlformats.org/officeDocument/2006/relationships" r:embed="rId3" cstate="print"/>
          <a:stretch>
            <a:fillRect/>
          </a:stretch>
        </xdr:blipFill>
        <xdr:spPr>
          <a:xfrm>
            <a:off x="9889919" y="1579665"/>
            <a:ext cx="446315" cy="312965"/>
          </a:xfrm>
          <a:prstGeom prst="rect">
            <a:avLst/>
          </a:prstGeom>
          <a:noFill/>
        </xdr:spPr>
      </xdr:pic>
      <xdr:pic>
        <xdr:nvPicPr>
          <xdr:cNvPr id="17" name="image2.png">
            <a:extLst>
              <a:ext uri="{FF2B5EF4-FFF2-40B4-BE49-F238E27FC236}">
                <a16:creationId xmlns:a16="http://schemas.microsoft.com/office/drawing/2014/main" id="{72B888DB-33E8-450B-B827-5D6AC985F559}"/>
              </a:ext>
            </a:extLst>
          </xdr:cNvPr>
          <xdr:cNvPicPr preferRelativeResize="0"/>
        </xdr:nvPicPr>
        <xdr:blipFill>
          <a:blip xmlns:r="http://schemas.openxmlformats.org/officeDocument/2006/relationships" r:embed="rId4" cstate="print"/>
          <a:stretch>
            <a:fillRect/>
          </a:stretch>
        </xdr:blipFill>
        <xdr:spPr>
          <a:xfrm>
            <a:off x="12542076" y="1551213"/>
            <a:ext cx="485776" cy="340180"/>
          </a:xfrm>
          <a:prstGeom prst="rect">
            <a:avLst/>
          </a:prstGeom>
          <a:noFill/>
        </xdr:spPr>
      </xdr:pic>
      <xdr:pic>
        <xdr:nvPicPr>
          <xdr:cNvPr id="18" name="image6.png">
            <a:extLst>
              <a:ext uri="{FF2B5EF4-FFF2-40B4-BE49-F238E27FC236}">
                <a16:creationId xmlns:a16="http://schemas.microsoft.com/office/drawing/2014/main" id="{335F6650-0C0C-4419-8281-663EFEBE5981}"/>
              </a:ext>
            </a:extLst>
          </xdr:cNvPr>
          <xdr:cNvPicPr preferRelativeResize="0"/>
        </xdr:nvPicPr>
        <xdr:blipFill>
          <a:blip xmlns:r="http://schemas.openxmlformats.org/officeDocument/2006/relationships" r:embed="rId5" cstate="print"/>
          <a:stretch>
            <a:fillRect/>
          </a:stretch>
        </xdr:blipFill>
        <xdr:spPr>
          <a:xfrm>
            <a:off x="15377308" y="1551212"/>
            <a:ext cx="503464" cy="449038"/>
          </a:xfrm>
          <a:prstGeom prst="rect">
            <a:avLst/>
          </a:prstGeom>
          <a:noFill/>
        </xdr:spPr>
      </xdr:pic>
      <xdr:sp macro="" textlink="">
        <xdr:nvSpPr>
          <xdr:cNvPr id="19" name="TextBox 18">
            <a:extLst>
              <a:ext uri="{FF2B5EF4-FFF2-40B4-BE49-F238E27FC236}">
                <a16:creationId xmlns:a16="http://schemas.microsoft.com/office/drawing/2014/main" id="{BF91E34A-1EF1-140A-1249-63FC100F889C}"/>
              </a:ext>
            </a:extLst>
          </xdr:cNvPr>
          <xdr:cNvSpPr txBox="1"/>
        </xdr:nvSpPr>
        <xdr:spPr>
          <a:xfrm>
            <a:off x="1185059" y="228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sp macro="" textlink="">
        <xdr:nvSpPr>
          <xdr:cNvPr id="25" name="TextBox 24">
            <a:extLst>
              <a:ext uri="{FF2B5EF4-FFF2-40B4-BE49-F238E27FC236}">
                <a16:creationId xmlns:a16="http://schemas.microsoft.com/office/drawing/2014/main" id="{F4AE64E9-F043-C659-3508-B2AA4A12B93E}"/>
              </a:ext>
            </a:extLst>
          </xdr:cNvPr>
          <xdr:cNvSpPr txBox="1"/>
        </xdr:nvSpPr>
        <xdr:spPr>
          <a:xfrm>
            <a:off x="2712771" y="639535"/>
            <a:ext cx="7307035" cy="721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3200">
                <a:solidFill>
                  <a:srgbClr val="002060"/>
                </a:solidFill>
                <a:latin typeface="Arial Black" panose="020B0A04020102020204" pitchFamily="34" charset="0"/>
              </a:rPr>
              <a:t>HR ANALYTICS DASHBOARD</a:t>
            </a:r>
          </a:p>
        </xdr:txBody>
      </xdr:sp>
      <xdr:pic>
        <xdr:nvPicPr>
          <xdr:cNvPr id="26" name="image7.png">
            <a:extLst>
              <a:ext uri="{FF2B5EF4-FFF2-40B4-BE49-F238E27FC236}">
                <a16:creationId xmlns:a16="http://schemas.microsoft.com/office/drawing/2014/main" id="{DE70E8E4-A420-4159-86F4-2FAA91ED56EF}"/>
              </a:ext>
            </a:extLst>
          </xdr:cNvPr>
          <xdr:cNvPicPr preferRelativeResize="0"/>
        </xdr:nvPicPr>
        <xdr:blipFill>
          <a:blip xmlns:r="http://schemas.openxmlformats.org/officeDocument/2006/relationships" r:embed="rId6" cstate="print"/>
          <a:stretch>
            <a:fillRect/>
          </a:stretch>
        </xdr:blipFill>
        <xdr:spPr>
          <a:xfrm>
            <a:off x="1916134" y="686543"/>
            <a:ext cx="693963" cy="564696"/>
          </a:xfrm>
          <a:prstGeom prst="rect">
            <a:avLst/>
          </a:prstGeom>
          <a:noFill/>
        </xdr:spPr>
      </xdr:pic>
      <xdr:pic>
        <xdr:nvPicPr>
          <xdr:cNvPr id="27" name="image1.png">
            <a:extLst>
              <a:ext uri="{FF2B5EF4-FFF2-40B4-BE49-F238E27FC236}">
                <a16:creationId xmlns:a16="http://schemas.microsoft.com/office/drawing/2014/main" id="{67E7F0CF-A7F4-4D3C-BCC3-FD4F02928F1E}"/>
              </a:ext>
            </a:extLst>
          </xdr:cNvPr>
          <xdr:cNvPicPr preferRelativeResize="0"/>
        </xdr:nvPicPr>
        <xdr:blipFill>
          <a:blip xmlns:r="http://schemas.openxmlformats.org/officeDocument/2006/relationships" r:embed="rId7" cstate="print"/>
          <a:stretch>
            <a:fillRect/>
          </a:stretch>
        </xdr:blipFill>
        <xdr:spPr>
          <a:xfrm>
            <a:off x="10458422" y="684450"/>
            <a:ext cx="721177" cy="598715"/>
          </a:xfrm>
          <a:prstGeom prst="rect">
            <a:avLst/>
          </a:prstGeom>
          <a:noFill/>
        </xdr:spPr>
      </xdr:pic>
      <xdr:sp macro="" textlink="">
        <xdr:nvSpPr>
          <xdr:cNvPr id="28" name="TextBox 27">
            <a:extLst>
              <a:ext uri="{FF2B5EF4-FFF2-40B4-BE49-F238E27FC236}">
                <a16:creationId xmlns:a16="http://schemas.microsoft.com/office/drawing/2014/main" id="{007D78BD-EE6D-14BB-430E-C9B1326540CC}"/>
              </a:ext>
            </a:extLst>
          </xdr:cNvPr>
          <xdr:cNvSpPr txBox="1"/>
        </xdr:nvSpPr>
        <xdr:spPr>
          <a:xfrm>
            <a:off x="11107139" y="519545"/>
            <a:ext cx="1689761" cy="1020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7E0000"/>
                </a:solidFill>
                <a:latin typeface="Arial Black" panose="020B0A04020102020204" pitchFamily="34" charset="0"/>
              </a:rPr>
              <a:t>JOB</a:t>
            </a:r>
            <a:r>
              <a:rPr lang="en-IN" sz="1400" baseline="0">
                <a:solidFill>
                  <a:srgbClr val="7E0000"/>
                </a:solidFill>
                <a:latin typeface="Arial Black" panose="020B0A04020102020204" pitchFamily="34" charset="0"/>
              </a:rPr>
              <a:t> SATISFACTION RATING</a:t>
            </a:r>
            <a:endParaRPr lang="en-IN" sz="1400">
              <a:solidFill>
                <a:srgbClr val="7E0000"/>
              </a:solidFill>
              <a:latin typeface="Arial Black" panose="020B0A04020102020204" pitchFamily="34" charset="0"/>
            </a:endParaRPr>
          </a:p>
        </xdr:txBody>
      </xdr:sp>
      <xdr:graphicFrame macro="">
        <xdr:nvGraphicFramePr>
          <xdr:cNvPr id="54" name="Chart 53">
            <a:extLst>
              <a:ext uri="{FF2B5EF4-FFF2-40B4-BE49-F238E27FC236}">
                <a16:creationId xmlns:a16="http://schemas.microsoft.com/office/drawing/2014/main" id="{7C6AA5FD-1E58-4A3E-AC8F-0A3ACA67308B}"/>
              </a:ext>
            </a:extLst>
          </xdr:cNvPr>
          <xdr:cNvGraphicFramePr>
            <a:graphicFrameLocks/>
          </xdr:cNvGraphicFramePr>
        </xdr:nvGraphicFramePr>
        <xdr:xfrm>
          <a:off x="12694227" y="526968"/>
          <a:ext cx="1036616" cy="898072"/>
        </xdr:xfrm>
        <a:graphic>
          <a:graphicData uri="http://schemas.openxmlformats.org/drawingml/2006/chart">
            <c:chart xmlns:c="http://schemas.openxmlformats.org/drawingml/2006/chart" xmlns:r="http://schemas.openxmlformats.org/officeDocument/2006/relationships" r:id="rId8"/>
          </a:graphicData>
        </a:graphic>
      </xdr:graphicFrame>
      <xdr:sp macro="" textlink="Sheet2!$B$6">
        <xdr:nvSpPr>
          <xdr:cNvPr id="55" name="TextBox 54">
            <a:extLst>
              <a:ext uri="{FF2B5EF4-FFF2-40B4-BE49-F238E27FC236}">
                <a16:creationId xmlns:a16="http://schemas.microsoft.com/office/drawing/2014/main" id="{5486FDF3-A7ED-4AC7-E62E-148E9BFC99B6}"/>
              </a:ext>
            </a:extLst>
          </xdr:cNvPr>
          <xdr:cNvSpPr txBox="1"/>
        </xdr:nvSpPr>
        <xdr:spPr>
          <a:xfrm>
            <a:off x="12963896" y="816428"/>
            <a:ext cx="46264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D4DC0B-FDA3-4378-B464-C7659CB89F90}" type="TxLink">
              <a:rPr lang="en-US" sz="1600" b="1" i="0" u="none" strike="noStrike">
                <a:solidFill>
                  <a:srgbClr val="000000"/>
                </a:solidFill>
                <a:latin typeface="Calibri"/>
                <a:cs typeface="Calibri"/>
              </a:rPr>
              <a:pPr/>
              <a:t>2.7</a:t>
            </a:fld>
            <a:endParaRPr lang="en-IN" sz="1600" b="1"/>
          </a:p>
        </xdr:txBody>
      </xdr:sp>
      <xdr:graphicFrame macro="">
        <xdr:nvGraphicFramePr>
          <xdr:cNvPr id="56" name="Chart 55">
            <a:extLst>
              <a:ext uri="{FF2B5EF4-FFF2-40B4-BE49-F238E27FC236}">
                <a16:creationId xmlns:a16="http://schemas.microsoft.com/office/drawing/2014/main" id="{92F79A0B-CAD1-4A10-AA8B-B2B596822612}"/>
              </a:ext>
            </a:extLst>
          </xdr:cNvPr>
          <xdr:cNvGraphicFramePr>
            <a:graphicFrameLocks/>
          </xdr:cNvGraphicFramePr>
        </xdr:nvGraphicFramePr>
        <xdr:xfrm>
          <a:off x="13647965" y="557893"/>
          <a:ext cx="2700399" cy="843643"/>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71" name="Group 70">
            <a:extLst>
              <a:ext uri="{FF2B5EF4-FFF2-40B4-BE49-F238E27FC236}">
                <a16:creationId xmlns:a16="http://schemas.microsoft.com/office/drawing/2014/main" id="{BE9AF4F9-88B2-B4DB-F44D-6448E2D7EC2D}"/>
              </a:ext>
            </a:extLst>
          </xdr:cNvPr>
          <xdr:cNvGrpSpPr/>
        </xdr:nvGrpSpPr>
        <xdr:grpSpPr>
          <a:xfrm>
            <a:off x="1648940" y="3551464"/>
            <a:ext cx="4376549" cy="1348466"/>
            <a:chOff x="1673681" y="3551464"/>
            <a:chExt cx="4463139" cy="1348466"/>
          </a:xfrm>
        </xdr:grpSpPr>
        <xdr:graphicFrame macro="">
          <xdr:nvGraphicFramePr>
            <xdr:cNvPr id="59" name="Chart 58">
              <a:extLst>
                <a:ext uri="{FF2B5EF4-FFF2-40B4-BE49-F238E27FC236}">
                  <a16:creationId xmlns:a16="http://schemas.microsoft.com/office/drawing/2014/main" id="{962A186B-43C1-4818-8EE4-68C819221ECC}"/>
                </a:ext>
              </a:extLst>
            </xdr:cNvPr>
            <xdr:cNvGraphicFramePr>
              <a:graphicFrameLocks/>
            </xdr:cNvGraphicFramePr>
          </xdr:nvGraphicFramePr>
          <xdr:xfrm>
            <a:off x="1673681" y="3551464"/>
            <a:ext cx="1496784" cy="1321252"/>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60" name="Chart 59">
              <a:extLst>
                <a:ext uri="{FF2B5EF4-FFF2-40B4-BE49-F238E27FC236}">
                  <a16:creationId xmlns:a16="http://schemas.microsoft.com/office/drawing/2014/main" id="{12C7A2D9-9861-4C0F-A26A-B93C69E60B09}"/>
                </a:ext>
              </a:extLst>
            </xdr:cNvPr>
            <xdr:cNvGraphicFramePr>
              <a:graphicFrameLocks/>
            </xdr:cNvGraphicFramePr>
          </xdr:nvGraphicFramePr>
          <xdr:xfrm>
            <a:off x="4640036" y="3578678"/>
            <a:ext cx="1496784" cy="1321252"/>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66" name="Graphic 65" descr="Male profile with solid fill">
              <a:extLst>
                <a:ext uri="{FF2B5EF4-FFF2-40B4-BE49-F238E27FC236}">
                  <a16:creationId xmlns:a16="http://schemas.microsoft.com/office/drawing/2014/main" id="{2A03F527-3A80-422B-1DEE-A7C365B3CAD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038600" y="3717469"/>
              <a:ext cx="868137" cy="868137"/>
            </a:xfrm>
            <a:prstGeom prst="rect">
              <a:avLst/>
            </a:prstGeom>
          </xdr:spPr>
        </xdr:pic>
        <xdr:pic>
          <xdr:nvPicPr>
            <xdr:cNvPr id="70" name="Graphic 69" descr="Female Profile with solid fill">
              <a:extLst>
                <a:ext uri="{FF2B5EF4-FFF2-40B4-BE49-F238E27FC236}">
                  <a16:creationId xmlns:a16="http://schemas.microsoft.com/office/drawing/2014/main" id="{10FB68F3-0566-82B3-6E8C-9471CB80E45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012621" y="3741964"/>
              <a:ext cx="830036" cy="830036"/>
            </a:xfrm>
            <a:prstGeom prst="rect">
              <a:avLst/>
            </a:prstGeom>
          </xdr:spPr>
        </xdr:pic>
      </xdr:grpSp>
      <xdr:sp macro="" textlink="">
        <xdr:nvSpPr>
          <xdr:cNvPr id="72" name="TextBox 71">
            <a:extLst>
              <a:ext uri="{FF2B5EF4-FFF2-40B4-BE49-F238E27FC236}">
                <a16:creationId xmlns:a16="http://schemas.microsoft.com/office/drawing/2014/main" id="{DE7E0560-5BC8-B3F6-67E4-C92FBBA8E4D2}"/>
              </a:ext>
            </a:extLst>
          </xdr:cNvPr>
          <xdr:cNvSpPr txBox="1"/>
        </xdr:nvSpPr>
        <xdr:spPr>
          <a:xfrm>
            <a:off x="1836109" y="2509325"/>
            <a:ext cx="3907186" cy="371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7E0000"/>
                </a:solidFill>
                <a:latin typeface="Arial Rounded MT Bold" panose="020F0704030504030204" pitchFamily="34" charset="0"/>
              </a:rPr>
              <a:t>Total Employees By Gender</a:t>
            </a:r>
          </a:p>
        </xdr:txBody>
      </xdr:sp>
      <mc:AlternateContent xmlns:mc="http://schemas.openxmlformats.org/markup-compatibility/2006" xmlns:a14="http://schemas.microsoft.com/office/drawing/2010/main">
        <mc:Choice Requires="a14">
          <xdr:graphicFrame macro="">
            <xdr:nvGraphicFramePr>
              <xdr:cNvPr id="73" name="Gender 3">
                <a:extLst>
                  <a:ext uri="{FF2B5EF4-FFF2-40B4-BE49-F238E27FC236}">
                    <a16:creationId xmlns:a16="http://schemas.microsoft.com/office/drawing/2014/main" id="{9996788D-C78F-4D1B-87BB-18681FAE3D0D}"/>
                  </a:ext>
                </a:extLst>
              </xdr:cNvPr>
              <xdr:cNvGraphicFramePr/>
            </xdr:nvGraphicFramePr>
            <xdr:xfrm>
              <a:off x="2821627" y="3007177"/>
              <a:ext cx="2099210" cy="707573"/>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852576" y="2963312"/>
                <a:ext cx="2127801" cy="696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74" name="Chart 73">
            <a:extLst>
              <a:ext uri="{FF2B5EF4-FFF2-40B4-BE49-F238E27FC236}">
                <a16:creationId xmlns:a16="http://schemas.microsoft.com/office/drawing/2014/main" id="{0483E46C-9CF3-4EBF-89E9-6D8006C2744E}"/>
              </a:ext>
            </a:extLst>
          </xdr:cNvPr>
          <xdr:cNvGraphicFramePr>
            <a:graphicFrameLocks/>
          </xdr:cNvGraphicFramePr>
        </xdr:nvGraphicFramePr>
        <xdr:xfrm>
          <a:off x="6147955" y="3007179"/>
          <a:ext cx="5003715" cy="2041072"/>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77" name="TextBox 76">
            <a:extLst>
              <a:ext uri="{FF2B5EF4-FFF2-40B4-BE49-F238E27FC236}">
                <a16:creationId xmlns:a16="http://schemas.microsoft.com/office/drawing/2014/main" id="{685B667D-0777-E752-0F2B-0D52B2AFA912}"/>
              </a:ext>
            </a:extLst>
          </xdr:cNvPr>
          <xdr:cNvSpPr txBox="1"/>
        </xdr:nvSpPr>
        <xdr:spPr>
          <a:xfrm>
            <a:off x="6147954" y="2517322"/>
            <a:ext cx="4662302"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7E0000"/>
                </a:solidFill>
                <a:latin typeface="Arial Rounded MT Bold" panose="020F0704030504030204" pitchFamily="34" charset="0"/>
              </a:rPr>
              <a:t>Education wise Attrition</a:t>
            </a:r>
          </a:p>
        </xdr:txBody>
      </xdr:sp>
      <xdr:sp macro="" textlink="">
        <xdr:nvSpPr>
          <xdr:cNvPr id="80" name="TextBox 79">
            <a:extLst>
              <a:ext uri="{FF2B5EF4-FFF2-40B4-BE49-F238E27FC236}">
                <a16:creationId xmlns:a16="http://schemas.microsoft.com/office/drawing/2014/main" id="{D0D5F8EC-B25C-170F-C71E-B92B82FF00DC}"/>
              </a:ext>
            </a:extLst>
          </xdr:cNvPr>
          <xdr:cNvSpPr txBox="1"/>
        </xdr:nvSpPr>
        <xdr:spPr>
          <a:xfrm>
            <a:off x="11555758" y="2505422"/>
            <a:ext cx="4499016" cy="367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7E0000"/>
                </a:solidFill>
                <a:latin typeface="Arial Rounded MT Bold" panose="020F0704030504030204" pitchFamily="34" charset="0"/>
              </a:rPr>
              <a:t>Attrition By Job Role</a:t>
            </a:r>
          </a:p>
        </xdr:txBody>
      </xdr:sp>
      <mc:AlternateContent xmlns:mc="http://schemas.openxmlformats.org/markup-compatibility/2006">
        <mc:Choice xmlns:cx1="http://schemas.microsoft.com/office/drawing/2015/9/8/chartex" Requires="cx1">
          <xdr:graphicFrame macro="">
            <xdr:nvGraphicFramePr>
              <xdr:cNvPr id="82" name="Chart 81">
                <a:extLst>
                  <a:ext uri="{FF2B5EF4-FFF2-40B4-BE49-F238E27FC236}">
                    <a16:creationId xmlns:a16="http://schemas.microsoft.com/office/drawing/2014/main" id="{1E38D2CF-6B50-435E-9CBF-E031CA934DC5}"/>
                  </a:ext>
                </a:extLst>
              </xdr:cNvPr>
              <xdr:cNvGraphicFramePr/>
            </xdr:nvGraphicFramePr>
            <xdr:xfrm>
              <a:off x="11601946" y="2898322"/>
              <a:ext cx="4280063" cy="2280555"/>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601946" y="2898322"/>
                <a:ext cx="4280063" cy="22805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84" name="Chart 83">
            <a:extLst>
              <a:ext uri="{FF2B5EF4-FFF2-40B4-BE49-F238E27FC236}">
                <a16:creationId xmlns:a16="http://schemas.microsoft.com/office/drawing/2014/main" id="{44D4C845-DCB8-4CAF-8524-A4F199F0BAF3}"/>
              </a:ext>
            </a:extLst>
          </xdr:cNvPr>
          <xdr:cNvGraphicFramePr>
            <a:graphicFrameLocks/>
          </xdr:cNvGraphicFramePr>
        </xdr:nvGraphicFramePr>
        <xdr:xfrm>
          <a:off x="2058389" y="5619748"/>
          <a:ext cx="3066555" cy="2136323"/>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86" name="TextBox 85">
            <a:extLst>
              <a:ext uri="{FF2B5EF4-FFF2-40B4-BE49-F238E27FC236}">
                <a16:creationId xmlns:a16="http://schemas.microsoft.com/office/drawing/2014/main" id="{7DED30C7-1F48-2AE9-E156-4B4FC163E519}"/>
              </a:ext>
            </a:extLst>
          </xdr:cNvPr>
          <xdr:cNvSpPr txBox="1"/>
        </xdr:nvSpPr>
        <xdr:spPr>
          <a:xfrm>
            <a:off x="1926565" y="5274584"/>
            <a:ext cx="4037175" cy="417301"/>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7E0000"/>
                </a:solidFill>
                <a:latin typeface="Arial Rounded MT Bold" panose="020F0704030504030204" pitchFamily="34" charset="0"/>
              </a:rPr>
              <a:t>Department wise Attribution</a:t>
            </a:r>
          </a:p>
        </xdr:txBody>
      </xdr:sp>
      <xdr:graphicFrame macro="">
        <xdr:nvGraphicFramePr>
          <xdr:cNvPr id="87" name="Chart 86">
            <a:extLst>
              <a:ext uri="{FF2B5EF4-FFF2-40B4-BE49-F238E27FC236}">
                <a16:creationId xmlns:a16="http://schemas.microsoft.com/office/drawing/2014/main" id="{735C17C4-D259-470C-B189-E034A1D10B90}"/>
              </a:ext>
            </a:extLst>
          </xdr:cNvPr>
          <xdr:cNvGraphicFramePr>
            <a:graphicFrameLocks/>
          </xdr:cNvGraphicFramePr>
        </xdr:nvGraphicFramePr>
        <xdr:xfrm>
          <a:off x="6497375" y="5554915"/>
          <a:ext cx="3044943" cy="2154732"/>
        </xdr:xfrm>
        <a:graphic>
          <a:graphicData uri="http://schemas.openxmlformats.org/drawingml/2006/chart">
            <c:chart xmlns:c="http://schemas.openxmlformats.org/drawingml/2006/chart" xmlns:r="http://schemas.openxmlformats.org/officeDocument/2006/relationships" r:id="rId19"/>
          </a:graphicData>
        </a:graphic>
      </xdr:graphicFrame>
      <xdr:sp macro="" textlink="">
        <xdr:nvSpPr>
          <xdr:cNvPr id="88" name="TextBox 87">
            <a:extLst>
              <a:ext uri="{FF2B5EF4-FFF2-40B4-BE49-F238E27FC236}">
                <a16:creationId xmlns:a16="http://schemas.microsoft.com/office/drawing/2014/main" id="{17881203-2BFF-FDB7-3AF5-85739C59399C}"/>
              </a:ext>
            </a:extLst>
          </xdr:cNvPr>
          <xdr:cNvSpPr txBox="1"/>
        </xdr:nvSpPr>
        <xdr:spPr>
          <a:xfrm>
            <a:off x="6304672" y="5257763"/>
            <a:ext cx="315623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7E0000"/>
                </a:solidFill>
                <a:latin typeface="Arial Rounded MT Bold" panose="020F0704030504030204" pitchFamily="34" charset="0"/>
              </a:rPr>
              <a:t>Attrition</a:t>
            </a:r>
            <a:r>
              <a:rPr lang="en-IN" sz="2000" baseline="0">
                <a:solidFill>
                  <a:srgbClr val="7E0000"/>
                </a:solidFill>
                <a:latin typeface="Arial Rounded MT Bold" panose="020F0704030504030204" pitchFamily="34" charset="0"/>
              </a:rPr>
              <a:t> By Age Group</a:t>
            </a:r>
            <a:endParaRPr lang="en-IN" sz="2000">
              <a:solidFill>
                <a:srgbClr val="7E0000"/>
              </a:solidFill>
              <a:latin typeface="Arial Rounded MT Bold" panose="020F0704030504030204" pitchFamily="34" charset="0"/>
            </a:endParaRPr>
          </a:p>
        </xdr:txBody>
      </xdr:sp>
      <xdr:sp macro="" textlink="">
        <xdr:nvSpPr>
          <xdr:cNvPr id="89" name="TextBox 88">
            <a:extLst>
              <a:ext uri="{FF2B5EF4-FFF2-40B4-BE49-F238E27FC236}">
                <a16:creationId xmlns:a16="http://schemas.microsoft.com/office/drawing/2014/main" id="{414C7B5B-0A0F-201F-8D96-32D3BFD47A93}"/>
              </a:ext>
            </a:extLst>
          </xdr:cNvPr>
          <xdr:cNvSpPr txBox="1"/>
        </xdr:nvSpPr>
        <xdr:spPr>
          <a:xfrm>
            <a:off x="10203007" y="5234421"/>
            <a:ext cx="3131993" cy="324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a:solidFill>
                  <a:srgbClr val="7E0000"/>
                </a:solidFill>
                <a:latin typeface="Arial Rounded MT Bold" panose="020F0704030504030204" pitchFamily="34" charset="0"/>
              </a:rPr>
              <a:t>Attrition By Marital Status</a:t>
            </a:r>
          </a:p>
        </xdr:txBody>
      </xdr:sp>
      <xdr:sp macro="" textlink="">
        <xdr:nvSpPr>
          <xdr:cNvPr id="90" name="TextBox 89">
            <a:extLst>
              <a:ext uri="{FF2B5EF4-FFF2-40B4-BE49-F238E27FC236}">
                <a16:creationId xmlns:a16="http://schemas.microsoft.com/office/drawing/2014/main" id="{85EC9E05-5FFE-23BD-2902-09FCF45DD90D}"/>
              </a:ext>
            </a:extLst>
          </xdr:cNvPr>
          <xdr:cNvSpPr txBox="1"/>
        </xdr:nvSpPr>
        <xdr:spPr>
          <a:xfrm>
            <a:off x="13447532" y="5242189"/>
            <a:ext cx="237259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7E0000"/>
                </a:solidFill>
                <a:latin typeface="Arial Rounded MT Bold" panose="020F0704030504030204" pitchFamily="34" charset="0"/>
              </a:rPr>
              <a:t>Filter Panel</a:t>
            </a:r>
          </a:p>
        </xdr:txBody>
      </xdr:sp>
      <mc:AlternateContent xmlns:mc="http://schemas.openxmlformats.org/markup-compatibility/2006">
        <mc:Choice xmlns:cx2="http://schemas.microsoft.com/office/drawing/2015/10/21/chartex" Requires="cx2">
          <xdr:graphicFrame macro="">
            <xdr:nvGraphicFramePr>
              <xdr:cNvPr id="91" name="Chart 90">
                <a:extLst>
                  <a:ext uri="{FF2B5EF4-FFF2-40B4-BE49-F238E27FC236}">
                    <a16:creationId xmlns:a16="http://schemas.microsoft.com/office/drawing/2014/main" id="{D745647D-1610-4A6E-8295-2E888CED3F2B}"/>
                  </a:ext>
                </a:extLst>
              </xdr:cNvPr>
              <xdr:cNvGraphicFramePr/>
            </xdr:nvGraphicFramePr>
            <xdr:xfrm>
              <a:off x="10104649" y="5804646"/>
              <a:ext cx="2811659" cy="1860177"/>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0104649" y="5804646"/>
                <a:ext cx="2811659" cy="186017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xmlns:a14="http://schemas.microsoft.com/office/drawing/2010/main">
        <mc:Choice Requires="a14">
          <xdr:graphicFrame macro="">
            <xdr:nvGraphicFramePr>
              <xdr:cNvPr id="92" name="Department 1">
                <a:extLst>
                  <a:ext uri="{FF2B5EF4-FFF2-40B4-BE49-F238E27FC236}">
                    <a16:creationId xmlns:a16="http://schemas.microsoft.com/office/drawing/2014/main" id="{2ADAB02C-4372-44CD-BA25-89CFA17C9D1D}"/>
                  </a:ext>
                </a:extLst>
              </xdr:cNvPr>
              <xdr:cNvGraphicFramePr/>
            </xdr:nvGraphicFramePr>
            <xdr:xfrm>
              <a:off x="15165570" y="5699216"/>
              <a:ext cx="1140265" cy="1267066"/>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364643" y="5614614"/>
                <a:ext cx="1155795" cy="1247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3" name="Education Field 3">
                <a:extLst>
                  <a:ext uri="{FF2B5EF4-FFF2-40B4-BE49-F238E27FC236}">
                    <a16:creationId xmlns:a16="http://schemas.microsoft.com/office/drawing/2014/main" id="{AF7A4E5A-3BFD-44A3-9D45-20027F25E36C}"/>
                  </a:ext>
                </a:extLst>
              </xdr:cNvPr>
              <xdr:cNvGraphicFramePr/>
            </xdr:nvGraphicFramePr>
            <xdr:xfrm>
              <a:off x="13416626" y="5711929"/>
              <a:ext cx="1750227" cy="2105905"/>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3591878" y="5627135"/>
                <a:ext cx="1774065" cy="20740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c:userShapes xmlns:c="http://schemas.openxmlformats.org/drawingml/2006/chart">
  <cdr:relSizeAnchor xmlns:cdr="http://schemas.openxmlformats.org/drawingml/2006/chartDrawing">
    <cdr:from>
      <cdr:x>0.3</cdr:x>
      <cdr:y>0.34741</cdr:y>
    </cdr:from>
    <cdr:to>
      <cdr:x>0.72727</cdr:x>
      <cdr:y>0.63577</cdr:y>
    </cdr:to>
    <cdr:sp macro="" textlink="Sheet3!$B$9">
      <cdr:nvSpPr>
        <cdr:cNvPr id="2" name="TextBox 54">
          <a:extLst xmlns:a="http://schemas.openxmlformats.org/drawingml/2006/main">
            <a:ext uri="{FF2B5EF4-FFF2-40B4-BE49-F238E27FC236}">
              <a16:creationId xmlns:a16="http://schemas.microsoft.com/office/drawing/2014/main" id="{5486FDF3-A7ED-4AC7-E62E-148E9BFC99B6}"/>
            </a:ext>
          </a:extLst>
        </cdr:cNvPr>
        <cdr:cNvSpPr txBox="1"/>
      </cdr:nvSpPr>
      <cdr:spPr>
        <a:xfrm xmlns:a="http://schemas.openxmlformats.org/drawingml/2006/main">
          <a:off x="449033" y="459014"/>
          <a:ext cx="639536" cy="381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979D1422-B89D-4EE7-906F-42C35B2CF0C6}" type="TxLink">
            <a:rPr lang="en-US" sz="1600" b="0" i="0" u="none" strike="noStrike">
              <a:solidFill>
                <a:srgbClr val="F0068C"/>
              </a:solidFill>
              <a:latin typeface="Arial Black" panose="020B0A04020102020204" pitchFamily="34" charset="0"/>
              <a:cs typeface="Calibri"/>
            </a:rPr>
            <a:pPr/>
            <a:t>882</a:t>
          </a:fld>
          <a:endParaRPr lang="en-IN" sz="2000" b="1">
            <a:solidFill>
              <a:srgbClr val="F0068C"/>
            </a:solidFill>
            <a:latin typeface="Arial Black" panose="020B0A040201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0.29091</cdr:x>
      <cdr:y>0.34741</cdr:y>
    </cdr:from>
    <cdr:to>
      <cdr:x>0.74126</cdr:x>
      <cdr:y>0.55519</cdr:y>
    </cdr:to>
    <cdr:sp macro="" textlink="Sheet3!$B$8">
      <cdr:nvSpPr>
        <cdr:cNvPr id="2" name="TextBox 54">
          <a:extLst xmlns:a="http://schemas.openxmlformats.org/drawingml/2006/main">
            <a:ext uri="{FF2B5EF4-FFF2-40B4-BE49-F238E27FC236}">
              <a16:creationId xmlns:a16="http://schemas.microsoft.com/office/drawing/2014/main" id="{5486FDF3-A7ED-4AC7-E62E-148E9BFC99B6}"/>
            </a:ext>
          </a:extLst>
        </cdr:cNvPr>
        <cdr:cNvSpPr txBox="1"/>
      </cdr:nvSpPr>
      <cdr:spPr>
        <a:xfrm xmlns:a="http://schemas.openxmlformats.org/drawingml/2006/main">
          <a:off x="426981" y="459016"/>
          <a:ext cx="661001" cy="27453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25C6E376-89B9-404D-A657-A378A2CE7328}" type="TxLink">
            <a:rPr lang="en-US" sz="1600" b="0" i="0" u="none" strike="noStrike">
              <a:solidFill>
                <a:srgbClr val="00518E"/>
              </a:solidFill>
              <a:latin typeface="Arial Black" panose="020B0A04020102020204" pitchFamily="34" charset="0"/>
              <a:cs typeface="Calibri"/>
            </a:rPr>
            <a:pPr/>
            <a:t>0</a:t>
          </a:fld>
          <a:endParaRPr lang="en-IN" sz="2000" b="1">
            <a:solidFill>
              <a:srgbClr val="00518E"/>
            </a:solidFill>
            <a:latin typeface="Arial Black" panose="020B0A040201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5</xdr:col>
      <xdr:colOff>238125</xdr:colOff>
      <xdr:row>1</xdr:row>
      <xdr:rowOff>19050</xdr:rowOff>
    </xdr:from>
    <xdr:to>
      <xdr:col>8</xdr:col>
      <xdr:colOff>9525</xdr:colOff>
      <xdr:row>6</xdr:row>
      <xdr:rowOff>9525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5C7FDF5B-40F7-0E6F-334A-84D5E2C4A0B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562850" y="219075"/>
              <a:ext cx="182880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595312</xdr:colOff>
      <xdr:row>1</xdr:row>
      <xdr:rowOff>38100</xdr:rowOff>
    </xdr:from>
    <xdr:to>
      <xdr:col>5</xdr:col>
      <xdr:colOff>542925</xdr:colOff>
      <xdr:row>8</xdr:row>
      <xdr:rowOff>9525</xdr:rowOff>
    </xdr:to>
    <xdr:graphicFrame macro="">
      <xdr:nvGraphicFramePr>
        <xdr:cNvPr id="2" name="Chart 1">
          <a:extLst>
            <a:ext uri="{FF2B5EF4-FFF2-40B4-BE49-F238E27FC236}">
              <a16:creationId xmlns:a16="http://schemas.microsoft.com/office/drawing/2014/main" id="{60C77F91-6238-2FD0-018D-9D1C6B74D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95250</xdr:colOff>
      <xdr:row>1</xdr:row>
      <xdr:rowOff>76200</xdr:rowOff>
    </xdr:from>
    <xdr:to>
      <xdr:col>8</xdr:col>
      <xdr:colOff>552450</xdr:colOff>
      <xdr:row>7</xdr:row>
      <xdr:rowOff>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39FD8625-869B-3846-5B57-87CFE72A7CE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286375" y="276225"/>
              <a:ext cx="1828800" cy="1123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1138237</xdr:colOff>
      <xdr:row>10</xdr:row>
      <xdr:rowOff>66676</xdr:rowOff>
    </xdr:from>
    <xdr:to>
      <xdr:col>2</xdr:col>
      <xdr:colOff>561975</xdr:colOff>
      <xdr:row>15</xdr:row>
      <xdr:rowOff>171450</xdr:rowOff>
    </xdr:to>
    <xdr:graphicFrame macro="">
      <xdr:nvGraphicFramePr>
        <xdr:cNvPr id="4" name="Chart 3">
          <a:extLst>
            <a:ext uri="{FF2B5EF4-FFF2-40B4-BE49-F238E27FC236}">
              <a16:creationId xmlns:a16="http://schemas.microsoft.com/office/drawing/2014/main" id="{DE3AA853-8440-FEED-2D25-70E1A6B79B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104775</xdr:colOff>
      <xdr:row>7</xdr:row>
      <xdr:rowOff>114300</xdr:rowOff>
    </xdr:from>
    <xdr:to>
      <xdr:col>8</xdr:col>
      <xdr:colOff>561975</xdr:colOff>
      <xdr:row>20</xdr:row>
      <xdr:rowOff>180975</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5DE75CC3-6CAC-C16E-AC68-BE8F253DF5C0}"/>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5295900" y="15144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28575</xdr:colOff>
      <xdr:row>4</xdr:row>
      <xdr:rowOff>28575</xdr:rowOff>
    </xdr:from>
    <xdr:to>
      <xdr:col>9</xdr:col>
      <xdr:colOff>485775</xdr:colOff>
      <xdr:row>17</xdr:row>
      <xdr:rowOff>95250</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BF7D153A-CA5D-7FF4-2CA1-4615565A0EA7}"/>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6247840" y="835399"/>
              <a:ext cx="1824317" cy="2688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514350</xdr:colOff>
      <xdr:row>4</xdr:row>
      <xdr:rowOff>175932</xdr:rowOff>
    </xdr:from>
    <xdr:to>
      <xdr:col>13</xdr:col>
      <xdr:colOff>285749</xdr:colOff>
      <xdr:row>18</xdr:row>
      <xdr:rowOff>40901</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E9A4B340-D93A-E70A-A2F7-A956457133CF}"/>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8784291" y="982756"/>
              <a:ext cx="1822076" cy="2688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557212</xdr:colOff>
      <xdr:row>3</xdr:row>
      <xdr:rowOff>104775</xdr:rowOff>
    </xdr:from>
    <xdr:to>
      <xdr:col>6</xdr:col>
      <xdr:colOff>323850</xdr:colOff>
      <xdr:row>12</xdr:row>
      <xdr:rowOff>47625</xdr:rowOff>
    </xdr:to>
    <xdr:graphicFrame macro="">
      <xdr:nvGraphicFramePr>
        <xdr:cNvPr id="6" name="Chart 5">
          <a:extLst>
            <a:ext uri="{FF2B5EF4-FFF2-40B4-BE49-F238E27FC236}">
              <a16:creationId xmlns:a16="http://schemas.microsoft.com/office/drawing/2014/main" id="{1349231C-0116-D2DF-0294-6692FE6F56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23812</xdr:colOff>
      <xdr:row>5</xdr:row>
      <xdr:rowOff>76200</xdr:rowOff>
    </xdr:from>
    <xdr:to>
      <xdr:col>10</xdr:col>
      <xdr:colOff>481012</xdr:colOff>
      <xdr:row>19</xdr:row>
      <xdr:rowOff>19050</xdr:rowOff>
    </xdr:to>
    <xdr:graphicFrame macro="">
      <xdr:nvGraphicFramePr>
        <xdr:cNvPr id="2" name="Chart 1">
          <a:extLst>
            <a:ext uri="{FF2B5EF4-FFF2-40B4-BE49-F238E27FC236}">
              <a16:creationId xmlns:a16="http://schemas.microsoft.com/office/drawing/2014/main" id="{31492BA6-4CB9-6969-D009-3F0A467EE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576262</xdr:colOff>
      <xdr:row>3</xdr:row>
      <xdr:rowOff>114300</xdr:rowOff>
    </xdr:from>
    <xdr:to>
      <xdr:col>7</xdr:col>
      <xdr:colOff>661987</xdr:colOff>
      <xdr:row>17</xdr:row>
      <xdr:rowOff>57150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72ACA32-8E65-0883-BFE6-2A91DDACC1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76687" y="71437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1328737</xdr:colOff>
      <xdr:row>3</xdr:row>
      <xdr:rowOff>114300</xdr:rowOff>
    </xdr:from>
    <xdr:to>
      <xdr:col>7</xdr:col>
      <xdr:colOff>95250</xdr:colOff>
      <xdr:row>15</xdr:row>
      <xdr:rowOff>9525</xdr:rowOff>
    </xdr:to>
    <xdr:graphicFrame macro="">
      <xdr:nvGraphicFramePr>
        <xdr:cNvPr id="2" name="Chart 1">
          <a:extLst>
            <a:ext uri="{FF2B5EF4-FFF2-40B4-BE49-F238E27FC236}">
              <a16:creationId xmlns:a16="http://schemas.microsoft.com/office/drawing/2014/main" id="{C53AA9F7-3954-92EF-B02D-85C50EE41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490537</xdr:colOff>
      <xdr:row>2</xdr:row>
      <xdr:rowOff>161925</xdr:rowOff>
    </xdr:from>
    <xdr:to>
      <xdr:col>11</xdr:col>
      <xdr:colOff>438150</xdr:colOff>
      <xdr:row>10</xdr:row>
      <xdr:rowOff>123825</xdr:rowOff>
    </xdr:to>
    <xdr:graphicFrame macro="">
      <xdr:nvGraphicFramePr>
        <xdr:cNvPr id="2" name="Chart 1">
          <a:extLst>
            <a:ext uri="{FF2B5EF4-FFF2-40B4-BE49-F238E27FC236}">
              <a16:creationId xmlns:a16="http://schemas.microsoft.com/office/drawing/2014/main" id="{85E4E06D-D422-3681-31F4-C24A45A6C0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428625</xdr:colOff>
      <xdr:row>13</xdr:row>
      <xdr:rowOff>161925</xdr:rowOff>
    </xdr:from>
    <xdr:to>
      <xdr:col>11</xdr:col>
      <xdr:colOff>685799</xdr:colOff>
      <xdr:row>16</xdr:row>
      <xdr:rowOff>152400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03C72E12-C48F-FF86-8880-2221A40CA8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162675" y="2762250"/>
              <a:ext cx="3000374" cy="5905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314325</xdr:colOff>
      <xdr:row>1</xdr:row>
      <xdr:rowOff>180975</xdr:rowOff>
    </xdr:from>
    <xdr:to>
      <xdr:col>4</xdr:col>
      <xdr:colOff>533400</xdr:colOff>
      <xdr:row>9</xdr:row>
      <xdr:rowOff>66675</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D89BBE72-0AB7-BF8F-09F8-47CDB753C12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381250" y="381000"/>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676275</xdr:colOff>
      <xdr:row>2</xdr:row>
      <xdr:rowOff>0</xdr:rowOff>
    </xdr:from>
    <xdr:to>
      <xdr:col>7</xdr:col>
      <xdr:colOff>447675</xdr:colOff>
      <xdr:row>12</xdr:row>
      <xdr:rowOff>104775</xdr:rowOff>
    </xdr:to>
    <mc:AlternateContent xmlns:mc="http://schemas.openxmlformats.org/markup-compatibility/2006" xmlns:a14="http://schemas.microsoft.com/office/drawing/2010/main">
      <mc:Choice Requires="a14">
        <xdr:graphicFrame macro="">
          <xdr:nvGraphicFramePr>
            <xdr:cNvPr id="5" name="Education Field 2">
              <a:extLst>
                <a:ext uri="{FF2B5EF4-FFF2-40B4-BE49-F238E27FC236}">
                  <a16:creationId xmlns:a16="http://schemas.microsoft.com/office/drawing/2014/main" id="{CC84B7EA-DA9E-C003-FEAA-637B2B1773C1}"/>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4352925" y="400050"/>
              <a:ext cx="1828800" cy="2105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3822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7632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excel\HR_Data.xlsx" TargetMode="External"/><Relationship Id="rId1" Type="http://schemas.openxmlformats.org/officeDocument/2006/relationships/externalLinkPath" Target="HR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s>
    <sheetDataSet>
      <sheetData sheetId="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04.446892939814" createdVersion="8" refreshedVersion="8" minRefreshableVersion="3" recordCount="1470" xr:uid="{D76B9A28-81F5-45E0-A290-7EF67279F45E}">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689925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E7E71C-5E50-4DB6-88ED-CE08AF269F37}" name="kpi"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h="1"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Count of Employee Number" fld="7" subtotal="count" baseField="0" baseItem="0"/>
    <dataField name="Count of Attrition" fld="0" subtotal="count" baseField="0" baseItem="0"/>
    <dataField name="Average of Age" fld="16" subtotal="average" baseField="0" baseItem="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76DA5E-3C76-4487-B05F-9B3302097875}" name="RATING"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29">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CC638C-A65A-4731-B5A1-3C51F3E1D30F}" name="gender"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v="1"/>
    </i>
    <i t="grand">
      <x/>
    </i>
  </rowItems>
  <colItems count="1">
    <i/>
  </colItems>
  <dataFields count="1">
    <dataField name="Count of Employee Count" fld="24" subtotal="count" baseField="8" baseItem="0"/>
  </dataFields>
  <formats count="4">
    <format dxfId="28">
      <pivotArea field="8" type="button" dataOnly="0" labelOnly="1" outline="0" axis="axisRow" fieldPosition="0"/>
    </format>
    <format dxfId="27">
      <pivotArea dataOnly="0" labelOnly="1" grandRow="1" outline="0" fieldPosition="0"/>
    </format>
    <format dxfId="26">
      <pivotArea dataOnly="0" outline="0" axis="axisValues" fieldPosition="0"/>
    </format>
    <format dxfId="25">
      <pivotArea grandRow="1"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C615B6-3DFF-4BB3-AF82-4D32769F86F6}" name="edu"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h="1"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446C5A-F62D-4990-A2E6-C2010BB107BA}"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h="1"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CD9C78-9631-41A6-B3F4-C565498D3EFE}" name="dep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63D985-AB40-4882-8BE2-70B5CF3DE8BB}" name="mar"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1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h="1"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2BDD6B-C4D3-435D-AA3F-0DA9070B837D}" name="ag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0FC54D3B-D19A-415E-9564-A1E3BE7BB50E}" sourceName="Gender">
  <pivotTables>
    <pivotTable tabId="9" name="gender"/>
    <pivotTable tabId="7" name="kpi"/>
    <pivotTable tabId="8" name="RATING"/>
    <pivotTable tabId="10" name="edu"/>
    <pivotTable tabId="11" name="PivotTable5"/>
    <pivotTable tabId="12" name="dept"/>
    <pivotTable tabId="13" name="age"/>
    <pivotTable tabId="13" name="mar"/>
  </pivotTables>
  <data>
    <tabular pivotCacheId="26899259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6DAD199-A827-4EAF-A8CF-8EC15776042C}" sourceName="Department">
  <pivotTables>
    <pivotTable tabId="13" name="age"/>
    <pivotTable tabId="7" name="kpi"/>
    <pivotTable tabId="8" name="RATING"/>
    <pivotTable tabId="9" name="gender"/>
    <pivotTable tabId="10" name="edu"/>
    <pivotTable tabId="11" name="PivotTable5"/>
    <pivotTable tabId="12" name="dept"/>
    <pivotTable tabId="13" name="mar"/>
  </pivotTables>
  <data>
    <tabular pivotCacheId="26899259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BF77ADD4-A1DF-40C6-BECC-C343FA6E17AF}" sourceName="Education Field">
  <pivotTables>
    <pivotTable tabId="13" name="age"/>
    <pivotTable tabId="7" name="kpi"/>
    <pivotTable tabId="8" name="RATING"/>
    <pivotTable tabId="9" name="gender"/>
    <pivotTable tabId="10" name="edu"/>
    <pivotTable tabId="11" name="PivotTable5"/>
    <pivotTable tabId="12" name="dept"/>
    <pivotTable tabId="13" name="mar"/>
  </pivotTables>
  <data>
    <tabular pivotCacheId="268992592">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3E60E5CE-0B9F-4EC0-83AC-B549FDCA18A7}" cache="Slicer_Gender2" caption="Gender" columnCount="2" style="Slicer Style 3" rowHeight="257175"/>
  <slicer name="Department 1" xr10:uid="{973C5229-4079-4E50-8C9D-75E6687AA253}" cache="Slicer_Department" caption="Department" style="Slicer Style 1" rowHeight="257175"/>
  <slicer name="Education Field 3" xr10:uid="{E52DB2E9-404C-4EEC-8265-BB478DC9D856}" cache="Slicer_Education_Field2" caption="Education Field" style="Slicer Style 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3ECCF27-57B8-4FC4-B66D-AD961357214B}" cache="Slicer_Gender2" caption="Gender"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C3A1D55B-1518-4870-93A3-2D2C998C0C28}" cache="Slicer_Gender2" caption="Gender" rowHeight="257175"/>
  <slicer name="Education Field" xr10:uid="{723ECD87-9252-40AC-9962-1F9E5068731B}" cache="Slicer_Education_Field2" caption="Education Field"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98D1576A-40C2-44CE-9455-F7A3DA46CC57}" cache="Slicer_Gender2" caption="Gender" rowHeight="257175"/>
  <slicer name="Education Field 1" xr10:uid="{06876200-662B-44BE-A7F4-CCD2F34F2416}" cache="Slicer_Education_Field2" caption="Education Field"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36132EE-1CDF-4C21-BCEF-F04B34D3B19F}" cache="Slicer_Department" caption="Department" rowHeight="257175"/>
  <slicer name="Education Field 2" xr10:uid="{08C814A8-CA4D-49EB-BF9B-32742C9189CB}" cache="Slicer_Education_Field2" caption="Education Field" rowHeight="257175"/>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3.xml"/><Relationship Id="rId4" Type="http://schemas.microsoft.com/office/2007/relationships/slicer" Target="../slicers/slicer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tabSelected="1" topLeftCell="A4" zoomScale="66" zoomScaleNormal="66" workbookViewId="0">
      <selection activeCell="AB8" sqref="AB8"/>
    </sheetView>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86226-0634-4BE6-B98A-3C0E74CAD41C}">
  <dimension ref="A3:E10"/>
  <sheetViews>
    <sheetView workbookViewId="0">
      <selection activeCell="D19" sqref="D19"/>
    </sheetView>
  </sheetViews>
  <sheetFormatPr defaultRowHeight="15.75" x14ac:dyDescent="0.25"/>
  <cols>
    <col min="1" max="1" width="23.375" bestFit="1" customWidth="1"/>
    <col min="2" max="2" width="15" bestFit="1" customWidth="1"/>
    <col min="3" max="3" width="13.375" bestFit="1" customWidth="1"/>
    <col min="4" max="4" width="21.75" bestFit="1" customWidth="1"/>
    <col min="5" max="5" width="22.625" bestFit="1" customWidth="1"/>
  </cols>
  <sheetData>
    <row r="3" spans="1:5" x14ac:dyDescent="0.25">
      <c r="A3" s="1" t="s">
        <v>38</v>
      </c>
      <c r="B3" s="13" t="s">
        <v>41</v>
      </c>
      <c r="C3" s="13" t="s">
        <v>42</v>
      </c>
      <c r="D3" s="10" t="s">
        <v>48</v>
      </c>
    </row>
    <row r="4" spans="1:5" x14ac:dyDescent="0.25">
      <c r="A4" s="11">
        <v>882</v>
      </c>
      <c r="B4" s="14">
        <v>882</v>
      </c>
      <c r="C4" s="14">
        <v>36.653061224489797</v>
      </c>
      <c r="D4" s="12">
        <v>150</v>
      </c>
    </row>
    <row r="6" spans="1:5" x14ac:dyDescent="0.25">
      <c r="A6" t="s">
        <v>43</v>
      </c>
      <c r="B6" t="s">
        <v>45</v>
      </c>
      <c r="C6" t="s">
        <v>44</v>
      </c>
      <c r="D6" t="s">
        <v>46</v>
      </c>
      <c r="E6" t="s">
        <v>47</v>
      </c>
    </row>
    <row r="7" spans="1:5" x14ac:dyDescent="0.25">
      <c r="A7">
        <f>GETPIVOTDATA("Count of Employee Number",$A$3)</f>
        <v>882</v>
      </c>
      <c r="B7">
        <f>GETPIVOTDATA("Sum of CF_attrition count",$A$3)</f>
        <v>150</v>
      </c>
      <c r="C7" s="17">
        <f>GETPIVOTDATA("Average of Age",$A$3)</f>
        <v>36.653061224489797</v>
      </c>
      <c r="D7">
        <f>A7-B7</f>
        <v>732</v>
      </c>
      <c r="E7" s="18">
        <f>B7/A7</f>
        <v>0.17006802721088435</v>
      </c>
    </row>
    <row r="10" spans="1:5" x14ac:dyDescent="0.25">
      <c r="C10" s="2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34AA-1B0B-49FF-B6DA-419872A19795}">
  <dimension ref="A3:I13"/>
  <sheetViews>
    <sheetView workbookViewId="0">
      <selection activeCell="L4" sqref="L4"/>
    </sheetView>
  </sheetViews>
  <sheetFormatPr defaultRowHeight="15.75" x14ac:dyDescent="0.25"/>
  <cols>
    <col min="1" max="1" width="23.125" bestFit="1" customWidth="1"/>
  </cols>
  <sheetData>
    <row r="3" spans="1:9" x14ac:dyDescent="0.25">
      <c r="A3" s="2" t="s">
        <v>49</v>
      </c>
    </row>
    <row r="4" spans="1:9" x14ac:dyDescent="0.25">
      <c r="A4" s="19">
        <v>2.6530612244897958</v>
      </c>
    </row>
    <row r="6" spans="1:9" x14ac:dyDescent="0.25">
      <c r="A6" t="s">
        <v>50</v>
      </c>
      <c r="B6" s="16">
        <f>GETPIVOTDATA("Job Satisfaction",$A$3)</f>
        <v>2.6530612244897958</v>
      </c>
      <c r="C6" s="20">
        <f>B6/4</f>
        <v>0.66326530612244894</v>
      </c>
    </row>
    <row r="7" spans="1:9" x14ac:dyDescent="0.25">
      <c r="A7" t="s">
        <v>51</v>
      </c>
      <c r="B7" s="16">
        <f>4-GETPIVOTDATA("Job Satisfaction",$A$3)</f>
        <v>1.3469387755102042</v>
      </c>
      <c r="C7" s="20">
        <f>B7/4</f>
        <v>0.33673469387755106</v>
      </c>
    </row>
    <row r="13" spans="1:9" x14ac:dyDescent="0.25">
      <c r="I13" t="s">
        <v>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002AA-491C-4BEF-BE7F-D4466F04B3F9}">
  <dimension ref="A3:C9"/>
  <sheetViews>
    <sheetView zoomScale="85" zoomScaleNormal="85" workbookViewId="0">
      <selection activeCell="D17" sqref="D17"/>
    </sheetView>
  </sheetViews>
  <sheetFormatPr defaultRowHeight="15.75" x14ac:dyDescent="0.25"/>
  <cols>
    <col min="1" max="1" width="13.125" bestFit="1" customWidth="1"/>
    <col min="2" max="2" width="23.625" bestFit="1" customWidth="1"/>
  </cols>
  <sheetData>
    <row r="3" spans="1:3" x14ac:dyDescent="0.25">
      <c r="A3" s="21" t="s">
        <v>39</v>
      </c>
      <c r="B3" s="23" t="s">
        <v>53</v>
      </c>
    </row>
    <row r="4" spans="1:3" x14ac:dyDescent="0.25">
      <c r="A4" s="5" t="s">
        <v>12</v>
      </c>
      <c r="B4" s="6">
        <v>882</v>
      </c>
    </row>
    <row r="5" spans="1:3" x14ac:dyDescent="0.25">
      <c r="A5" s="22" t="s">
        <v>40</v>
      </c>
      <c r="B5" s="24">
        <v>882</v>
      </c>
    </row>
    <row r="8" spans="1:3" x14ac:dyDescent="0.25">
      <c r="A8" s="25" t="s">
        <v>54</v>
      </c>
      <c r="B8">
        <f>IFERROR(GETPIVOTDATA("Employee Count",$A$3,"Gender","Female"),0)</f>
        <v>0</v>
      </c>
      <c r="C8" s="15">
        <f>IFERROR(B8/($B$8+$B$9),0)</f>
        <v>0</v>
      </c>
    </row>
    <row r="9" spans="1:3" x14ac:dyDescent="0.25">
      <c r="A9" s="25" t="s">
        <v>55</v>
      </c>
      <c r="B9">
        <f>IFERROR(GETPIVOTDATA("Employee Count",$A$3,"Gender","Male"),0)</f>
        <v>882</v>
      </c>
      <c r="C9" s="15">
        <f>IFERROR(B9/($B$8+$B$9),0)</f>
        <v>1</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6FE4C-8F14-4EF0-B85B-E9F0F3176F19}">
  <dimension ref="A3:D11"/>
  <sheetViews>
    <sheetView workbookViewId="0">
      <selection activeCell="A13" sqref="A13"/>
    </sheetView>
  </sheetViews>
  <sheetFormatPr defaultRowHeight="15.75" x14ac:dyDescent="0.25"/>
  <cols>
    <col min="1" max="1" width="16.125" bestFit="1" customWidth="1"/>
    <col min="2" max="2" width="21.75" bestFit="1" customWidth="1"/>
  </cols>
  <sheetData>
    <row r="3" spans="1:4" x14ac:dyDescent="0.25">
      <c r="A3" s="4" t="s">
        <v>39</v>
      </c>
      <c r="B3" s="2" t="s">
        <v>48</v>
      </c>
    </row>
    <row r="4" spans="1:4" x14ac:dyDescent="0.25">
      <c r="A4" s="5" t="s">
        <v>35</v>
      </c>
      <c r="B4" s="6">
        <v>2</v>
      </c>
    </row>
    <row r="5" spans="1:4" x14ac:dyDescent="0.25">
      <c r="A5" s="7" t="s">
        <v>15</v>
      </c>
      <c r="B5" s="8">
        <v>20</v>
      </c>
    </row>
    <row r="6" spans="1:4" x14ac:dyDescent="0.25">
      <c r="A6" s="7" t="s">
        <v>8</v>
      </c>
      <c r="B6" s="8">
        <v>25</v>
      </c>
    </row>
    <row r="7" spans="1:4" x14ac:dyDescent="0.25">
      <c r="A7" s="7" t="s">
        <v>20</v>
      </c>
      <c r="B7" s="8">
        <v>42</v>
      </c>
    </row>
    <row r="8" spans="1:4" x14ac:dyDescent="0.25">
      <c r="A8" s="7" t="s">
        <v>25</v>
      </c>
      <c r="B8" s="8">
        <v>61</v>
      </c>
    </row>
    <row r="9" spans="1:4" x14ac:dyDescent="0.25">
      <c r="A9" s="9" t="s">
        <v>40</v>
      </c>
      <c r="B9" s="3">
        <v>150</v>
      </c>
    </row>
    <row r="11" spans="1:4" x14ac:dyDescent="0.25">
      <c r="D11" t="s">
        <v>52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D2246-E390-4EFA-BBB0-F02E0F604F9A}">
  <dimension ref="A3:E13"/>
  <sheetViews>
    <sheetView workbookViewId="0">
      <selection activeCell="D4" sqref="D4:E12"/>
    </sheetView>
  </sheetViews>
  <sheetFormatPr defaultRowHeight="15.75" x14ac:dyDescent="0.25"/>
  <cols>
    <col min="1" max="1" width="22.875" bestFit="1" customWidth="1"/>
    <col min="2" max="2" width="21.75" bestFit="1" customWidth="1"/>
    <col min="4" max="4" width="22.875" bestFit="1" customWidth="1"/>
  </cols>
  <sheetData>
    <row r="3" spans="1:5" x14ac:dyDescent="0.25">
      <c r="A3" s="4" t="s">
        <v>39</v>
      </c>
      <c r="B3" s="2" t="s">
        <v>48</v>
      </c>
      <c r="D3" t="s">
        <v>56</v>
      </c>
      <c r="E3" t="s">
        <v>57</v>
      </c>
    </row>
    <row r="4" spans="1:5" x14ac:dyDescent="0.25">
      <c r="A4" s="5" t="s">
        <v>28</v>
      </c>
      <c r="B4" s="6">
        <v>4</v>
      </c>
      <c r="D4" t="str">
        <f>A4</f>
        <v>Healthcare Representative</v>
      </c>
      <c r="E4">
        <f>GETPIVOTDATA("CF_attrition count",$A$3,"Job Role",A4)</f>
        <v>4</v>
      </c>
    </row>
    <row r="5" spans="1:5" x14ac:dyDescent="0.25">
      <c r="A5" s="7" t="s">
        <v>37</v>
      </c>
      <c r="B5" s="8">
        <v>6</v>
      </c>
      <c r="D5" t="str">
        <f t="shared" ref="D5:D12" si="0">A5</f>
        <v>Human Resources</v>
      </c>
      <c r="E5">
        <f t="shared" ref="E5:E12" si="1">GETPIVOTDATA("CF_attrition count",$A$3,"Job Role",A5)</f>
        <v>6</v>
      </c>
    </row>
    <row r="6" spans="1:5" x14ac:dyDescent="0.25">
      <c r="A6" s="7" t="s">
        <v>17</v>
      </c>
      <c r="B6" s="8">
        <v>46</v>
      </c>
      <c r="D6" t="str">
        <f t="shared" si="0"/>
        <v>Laboratory Technician</v>
      </c>
      <c r="E6">
        <f t="shared" si="1"/>
        <v>46</v>
      </c>
    </row>
    <row r="7" spans="1:5" x14ac:dyDescent="0.25">
      <c r="A7" s="7" t="s">
        <v>30</v>
      </c>
      <c r="B7" s="8">
        <v>3</v>
      </c>
      <c r="D7" t="str">
        <f t="shared" si="0"/>
        <v>Manager</v>
      </c>
      <c r="E7">
        <f t="shared" si="1"/>
        <v>3</v>
      </c>
    </row>
    <row r="8" spans="1:5" x14ac:dyDescent="0.25">
      <c r="A8" s="7" t="s">
        <v>27</v>
      </c>
      <c r="B8" s="8">
        <v>6</v>
      </c>
      <c r="D8" t="str">
        <f t="shared" si="0"/>
        <v>Manufacturing Director</v>
      </c>
      <c r="E8">
        <f t="shared" si="1"/>
        <v>6</v>
      </c>
    </row>
    <row r="9" spans="1:5" x14ac:dyDescent="0.25">
      <c r="A9" s="7" t="s">
        <v>32</v>
      </c>
      <c r="B9" s="8">
        <v>1</v>
      </c>
      <c r="D9" t="str">
        <f t="shared" si="0"/>
        <v>Research Director</v>
      </c>
      <c r="E9">
        <f t="shared" si="1"/>
        <v>1</v>
      </c>
    </row>
    <row r="10" spans="1:5" x14ac:dyDescent="0.25">
      <c r="A10" s="7" t="s">
        <v>13</v>
      </c>
      <c r="B10" s="8">
        <v>30</v>
      </c>
      <c r="D10" t="str">
        <f t="shared" si="0"/>
        <v>Research Scientist</v>
      </c>
      <c r="E10">
        <f t="shared" si="1"/>
        <v>30</v>
      </c>
    </row>
    <row r="11" spans="1:5" x14ac:dyDescent="0.25">
      <c r="A11" s="7" t="s">
        <v>6</v>
      </c>
      <c r="B11" s="8">
        <v>37</v>
      </c>
      <c r="D11" t="str">
        <f t="shared" si="0"/>
        <v>Sales Executive</v>
      </c>
      <c r="E11">
        <f t="shared" si="1"/>
        <v>37</v>
      </c>
    </row>
    <row r="12" spans="1:5" x14ac:dyDescent="0.25">
      <c r="A12" s="7" t="s">
        <v>31</v>
      </c>
      <c r="B12" s="8">
        <v>17</v>
      </c>
      <c r="D12" t="str">
        <f t="shared" si="0"/>
        <v>Sales Representative</v>
      </c>
      <c r="E12">
        <f t="shared" si="1"/>
        <v>17</v>
      </c>
    </row>
    <row r="13" spans="1:5" x14ac:dyDescent="0.25">
      <c r="A13" s="9" t="s">
        <v>40</v>
      </c>
      <c r="B13" s="3">
        <v>150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D61CB-C3F1-4DDB-B047-3736B2042176}">
  <dimension ref="A3:B7"/>
  <sheetViews>
    <sheetView workbookViewId="0">
      <selection activeCell="E21" sqref="E21"/>
    </sheetView>
  </sheetViews>
  <sheetFormatPr defaultRowHeight="15.75" x14ac:dyDescent="0.25"/>
  <cols>
    <col min="1" max="1" width="12.125" bestFit="1" customWidth="1"/>
    <col min="2" max="2" width="21.75" bestFit="1" customWidth="1"/>
  </cols>
  <sheetData>
    <row r="3" spans="1:2" x14ac:dyDescent="0.25">
      <c r="A3" s="4" t="s">
        <v>39</v>
      </c>
      <c r="B3" s="2" t="s">
        <v>48</v>
      </c>
    </row>
    <row r="4" spans="1:2" x14ac:dyDescent="0.25">
      <c r="A4" s="5" t="s">
        <v>36</v>
      </c>
      <c r="B4" s="26">
        <v>0.04</v>
      </c>
    </row>
    <row r="5" spans="1:2" x14ac:dyDescent="0.25">
      <c r="A5" s="7" t="s">
        <v>10</v>
      </c>
      <c r="B5" s="27">
        <v>0.6</v>
      </c>
    </row>
    <row r="6" spans="1:2" x14ac:dyDescent="0.25">
      <c r="A6" s="7" t="s">
        <v>3</v>
      </c>
      <c r="B6" s="27">
        <v>0.36</v>
      </c>
    </row>
    <row r="7" spans="1:2" x14ac:dyDescent="0.25">
      <c r="A7" s="9" t="s">
        <v>40</v>
      </c>
      <c r="B7" s="28">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A7DF5-E653-4E18-98FD-02249B0D1684}">
  <dimension ref="A3:E17"/>
  <sheetViews>
    <sheetView workbookViewId="0">
      <selection activeCell="G16" sqref="G16"/>
    </sheetView>
  </sheetViews>
  <sheetFormatPr defaultRowHeight="15.75" x14ac:dyDescent="0.25"/>
  <cols>
    <col min="1" max="1" width="12.125" bestFit="1" customWidth="1"/>
    <col min="2" max="2" width="15" bestFit="1" customWidth="1"/>
    <col min="4" max="4" width="12.125" bestFit="1" customWidth="1"/>
  </cols>
  <sheetData>
    <row r="3" spans="1:5" x14ac:dyDescent="0.25">
      <c r="A3" s="4" t="s">
        <v>39</v>
      </c>
      <c r="B3" s="2" t="s">
        <v>48</v>
      </c>
    </row>
    <row r="4" spans="1:5" x14ac:dyDescent="0.25">
      <c r="A4" s="5" t="s">
        <v>18</v>
      </c>
      <c r="B4" s="6">
        <v>69</v>
      </c>
    </row>
    <row r="5" spans="1:5" x14ac:dyDescent="0.25">
      <c r="A5" s="7" t="s">
        <v>2</v>
      </c>
      <c r="B5" s="8">
        <v>37</v>
      </c>
    </row>
    <row r="6" spans="1:5" x14ac:dyDescent="0.25">
      <c r="A6" s="7" t="s">
        <v>29</v>
      </c>
      <c r="B6" s="8">
        <v>20</v>
      </c>
    </row>
    <row r="7" spans="1:5" x14ac:dyDescent="0.25">
      <c r="A7" s="7" t="s">
        <v>9</v>
      </c>
      <c r="B7" s="8">
        <v>16</v>
      </c>
    </row>
    <row r="8" spans="1:5" x14ac:dyDescent="0.25">
      <c r="A8" s="7" t="s">
        <v>24</v>
      </c>
      <c r="B8" s="8">
        <v>8</v>
      </c>
    </row>
    <row r="9" spans="1:5" x14ac:dyDescent="0.25">
      <c r="A9" s="9" t="s">
        <v>40</v>
      </c>
      <c r="B9" s="3">
        <v>150</v>
      </c>
    </row>
    <row r="13" spans="1:5" x14ac:dyDescent="0.25">
      <c r="A13" s="4" t="s">
        <v>39</v>
      </c>
      <c r="B13" s="2" t="s">
        <v>41</v>
      </c>
      <c r="D13" t="s">
        <v>58</v>
      </c>
      <c r="E13" t="s">
        <v>59</v>
      </c>
    </row>
    <row r="14" spans="1:5" x14ac:dyDescent="0.25">
      <c r="A14" s="5" t="s">
        <v>26</v>
      </c>
      <c r="B14" s="6">
        <v>210</v>
      </c>
      <c r="D14" t="str">
        <f t="shared" ref="D14:E16" si="0">A14</f>
        <v>Divorced</v>
      </c>
      <c r="E14">
        <f t="shared" si="0"/>
        <v>210</v>
      </c>
    </row>
    <row r="15" spans="1:5" x14ac:dyDescent="0.25">
      <c r="A15" s="7" t="s">
        <v>7</v>
      </c>
      <c r="B15" s="8">
        <v>271</v>
      </c>
      <c r="D15" t="str">
        <f t="shared" si="0"/>
        <v>Single</v>
      </c>
      <c r="E15">
        <f t="shared" si="0"/>
        <v>271</v>
      </c>
    </row>
    <row r="16" spans="1:5" x14ac:dyDescent="0.25">
      <c r="A16" s="7" t="s">
        <v>14</v>
      </c>
      <c r="B16" s="8">
        <v>401</v>
      </c>
      <c r="D16" t="str">
        <f t="shared" si="0"/>
        <v>Married</v>
      </c>
      <c r="E16">
        <f t="shared" si="0"/>
        <v>401</v>
      </c>
    </row>
    <row r="17" spans="1:2" x14ac:dyDescent="0.25">
      <c r="A17" s="9" t="s">
        <v>40</v>
      </c>
      <c r="B17" s="3">
        <v>882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8A71C-689B-4130-805E-F567F1918A7E}">
  <dimension ref="A2:AY54"/>
  <sheetViews>
    <sheetView topLeftCell="B40" zoomScale="112" zoomScaleNormal="112" workbookViewId="0">
      <selection activeCell="I7" sqref="I7"/>
    </sheetView>
  </sheetViews>
  <sheetFormatPr defaultRowHeight="15.75" x14ac:dyDescent="0.25"/>
  <cols>
    <col min="1" max="1" width="15.125" bestFit="1" customWidth="1"/>
    <col min="2" max="2" width="22.875" bestFit="1" customWidth="1"/>
    <col min="3" max="3" width="15.875" bestFit="1" customWidth="1"/>
    <col min="4" max="4" width="13.5" customWidth="1"/>
    <col min="5" max="5" width="11.875" bestFit="1" customWidth="1"/>
    <col min="6" max="7" width="11.875" customWidth="1"/>
    <col min="8" max="8" width="16.25" bestFit="1" customWidth="1"/>
    <col min="9" max="9" width="12.75" bestFit="1" customWidth="1"/>
    <col min="10" max="10" width="11.75" bestFit="1" customWidth="1"/>
    <col min="11" max="11" width="22.875" bestFit="1" customWidth="1"/>
    <col min="16" max="16" width="6.75" bestFit="1" customWidth="1"/>
    <col min="17" max="52" width="0" hidden="1" customWidth="1"/>
  </cols>
  <sheetData>
    <row r="2" spans="1:51" x14ac:dyDescent="0.25">
      <c r="A2" s="30" t="s">
        <v>0</v>
      </c>
      <c r="B2" s="36" t="s">
        <v>1</v>
      </c>
      <c r="C2" s="36" t="s">
        <v>61</v>
      </c>
      <c r="D2" s="36" t="s">
        <v>60</v>
      </c>
      <c r="E2" s="36" t="s">
        <v>62</v>
      </c>
      <c r="F2" s="36"/>
      <c r="G2" s="36"/>
      <c r="H2" s="36" t="s">
        <v>63</v>
      </c>
      <c r="I2" s="36" t="s">
        <v>112</v>
      </c>
      <c r="J2" s="36" t="s">
        <v>113</v>
      </c>
      <c r="K2" s="36" t="s">
        <v>67</v>
      </c>
      <c r="L2" s="36" t="s">
        <v>68</v>
      </c>
      <c r="M2">
        <f>COUNTA(_xlfn.ANCHORARRAY(K3))</f>
        <v>10</v>
      </c>
    </row>
    <row r="3" spans="1:51" x14ac:dyDescent="0.25">
      <c r="A3" s="31" t="s">
        <v>33</v>
      </c>
      <c r="B3" s="31" t="s">
        <v>37</v>
      </c>
      <c r="C3" s="31">
        <f>COUNTIFS([1]!Table_1[Job Role],practice!B3)</f>
        <v>52</v>
      </c>
      <c r="D3" s="34" cm="1">
        <f t="array" ref="D3:D11">SUMIFS([1]!Table_1[Monthly Income],[1]!Table_1[Job Role],practice!B3:B11)</f>
        <v>220259</v>
      </c>
      <c r="E3" s="34" cm="1">
        <f t="array" ref="E3:E11">AVERAGEIFS([1]!Table_1[Monthly Income],[1]!Table_1[Job Role],B3:B11)</f>
        <v>4235.75</v>
      </c>
      <c r="F3" s="34"/>
      <c r="G3" s="34"/>
      <c r="H3" s="31">
        <f>COUNTIFS([1]!Table_1[Job Role],practice!B3,[1]!Table_1[CF_attrition label],"Current Employees")</f>
        <v>40</v>
      </c>
      <c r="I3" s="25"/>
      <c r="K3" s="31" t="str" cm="1">
        <f t="array" ref="K3:K12">_xlfn._xlws.SORT(_xlfn.UNIQUE([1]!Table_1[Job Role]))</f>
        <v>Healthcare Representative</v>
      </c>
    </row>
    <row r="4" spans="1:51" x14ac:dyDescent="0.25">
      <c r="A4" s="31" t="s">
        <v>34</v>
      </c>
      <c r="B4" s="31" t="s">
        <v>6</v>
      </c>
      <c r="C4" s="31">
        <f>COUNTIFS([1]!Table_1[Job Role],practice!B4)</f>
        <v>326</v>
      </c>
      <c r="D4" s="34">
        <v>2257315</v>
      </c>
      <c r="E4" s="34">
        <v>6924.2791411042945</v>
      </c>
      <c r="F4" s="34"/>
      <c r="G4" s="34"/>
      <c r="H4" s="31">
        <f>COUNTIFS([1]!Table_1[Job Role],practice!B4,[1]!Table_1[CF_attrition label],"Current Employees")</f>
        <v>269</v>
      </c>
      <c r="I4" s="25"/>
      <c r="K4" s="31" t="str">
        <v>Human Resources</v>
      </c>
    </row>
    <row r="5" spans="1:51" x14ac:dyDescent="0.25">
      <c r="A5" s="31" t="s">
        <v>4</v>
      </c>
      <c r="B5" s="31" t="s">
        <v>13</v>
      </c>
      <c r="C5" s="31">
        <f>COUNTIFS([1]!Table_1[Job Role],practice!B5)</f>
        <v>292</v>
      </c>
      <c r="D5" s="34">
        <v>946072</v>
      </c>
      <c r="E5" s="34">
        <v>3239.972602739726</v>
      </c>
      <c r="F5" s="34"/>
      <c r="G5" s="34"/>
      <c r="H5" s="31">
        <f>COUNTIFS([1]!Table_1[Job Role],practice!B5,[1]!Table_1[CF_attrition label],"Current Employees")</f>
        <v>245</v>
      </c>
      <c r="I5" s="25"/>
      <c r="K5" s="31" t="str">
        <v>Laboratory Technician</v>
      </c>
    </row>
    <row r="6" spans="1:51" x14ac:dyDescent="0.25">
      <c r="A6" s="31" t="s">
        <v>4</v>
      </c>
      <c r="B6" s="31" t="s">
        <v>31</v>
      </c>
      <c r="C6" s="31">
        <f>COUNTIFS([1]!Table_1[Job Role],practice!B6)</f>
        <v>83</v>
      </c>
      <c r="D6" s="34">
        <v>217958</v>
      </c>
      <c r="E6" s="34">
        <v>2626</v>
      </c>
      <c r="F6" s="34"/>
      <c r="G6" s="34"/>
      <c r="H6" s="31">
        <f>COUNTIFS([1]!Table_1[Job Role],practice!B6,[1]!Table_1[CF_attrition label],"Current Employees")</f>
        <v>50</v>
      </c>
      <c r="I6" s="25"/>
      <c r="K6" s="31" t="str">
        <v>Manager</v>
      </c>
    </row>
    <row r="7" spans="1:51" x14ac:dyDescent="0.25">
      <c r="A7" s="32" t="s">
        <v>21</v>
      </c>
      <c r="B7" s="31" t="s">
        <v>17</v>
      </c>
      <c r="C7" s="31">
        <f>COUNTIFS([1]!Table_1[Job Role],practice!B7)</f>
        <v>259</v>
      </c>
      <c r="D7" s="34">
        <v>838427</v>
      </c>
      <c r="E7" s="34">
        <v>3237.169884169884</v>
      </c>
      <c r="F7" s="34"/>
      <c r="G7" s="34"/>
      <c r="H7" s="31">
        <f>COUNTIFS([1]!Table_1[Job Role],practice!B7,[1]!Table_1[CF_attrition label],"Current Employees")</f>
        <v>197</v>
      </c>
      <c r="K7" s="31" t="str">
        <v>Manufacturing Director</v>
      </c>
    </row>
    <row r="8" spans="1:51" x14ac:dyDescent="0.25">
      <c r="A8" s="31" t="s">
        <v>34</v>
      </c>
      <c r="B8" s="31" t="s">
        <v>28</v>
      </c>
      <c r="C8" s="31">
        <f>COUNTIFS([1]!Table_1[Job Role],practice!B8)</f>
        <v>131</v>
      </c>
      <c r="D8" s="34">
        <v>986268</v>
      </c>
      <c r="E8" s="34">
        <v>7528.7633587786258</v>
      </c>
      <c r="F8" s="34"/>
      <c r="G8" s="34"/>
      <c r="H8" s="31">
        <f>COUNTIFS([1]!Table_1[Job Role],practice!B8,[1]!Table_1[CF_attrition label],"Current Employees")</f>
        <v>122</v>
      </c>
      <c r="K8" s="31" t="str">
        <v>Research Analyzer</v>
      </c>
    </row>
    <row r="9" spans="1:51" x14ac:dyDescent="0.25">
      <c r="A9" s="31" t="s">
        <v>33</v>
      </c>
      <c r="B9" s="31" t="s">
        <v>27</v>
      </c>
      <c r="C9" s="31">
        <f>COUNTIFS([1]!Table_1[Job Role],practice!B9)</f>
        <v>145</v>
      </c>
      <c r="D9" s="34">
        <v>1057795</v>
      </c>
      <c r="E9" s="34">
        <v>7295.1379310344828</v>
      </c>
      <c r="F9" s="34"/>
      <c r="G9" s="34"/>
      <c r="H9" s="31">
        <f>COUNTIFS([1]!Table_1[Job Role],practice!B9,[1]!Table_1[CF_attrition label],"Current Employees")</f>
        <v>135</v>
      </c>
      <c r="K9" s="31" t="str">
        <v>Research Director</v>
      </c>
    </row>
    <row r="10" spans="1:51" x14ac:dyDescent="0.25">
      <c r="A10" s="32" t="s">
        <v>21</v>
      </c>
      <c r="B10" s="31" t="s">
        <v>30</v>
      </c>
      <c r="C10" s="31">
        <f>COUNTIFS([1]!Table_1[Job Role],practice!B10)</f>
        <v>102</v>
      </c>
      <c r="D10" s="34">
        <v>1752604</v>
      </c>
      <c r="E10" s="34">
        <v>17182.392156862745</v>
      </c>
      <c r="F10" s="34"/>
      <c r="G10" s="34"/>
      <c r="H10" s="31">
        <f>COUNTIFS([1]!Table_1[Job Role],practice!B10,[1]!Table_1[CF_attrition label],"Current Employees")</f>
        <v>97</v>
      </c>
      <c r="K10" s="31" t="str">
        <v>Research Scientist</v>
      </c>
    </row>
    <row r="11" spans="1:51" x14ac:dyDescent="0.25">
      <c r="A11" s="31" t="s">
        <v>34</v>
      </c>
      <c r="B11" s="31" t="s">
        <v>32</v>
      </c>
      <c r="C11" s="31">
        <f>COUNTIFS([1]!Table_1[Job Role],practice!B11)</f>
        <v>78</v>
      </c>
      <c r="D11" s="34">
        <v>1244399</v>
      </c>
      <c r="E11" s="34">
        <v>15953.833333333334</v>
      </c>
      <c r="F11" s="34"/>
      <c r="G11" s="34"/>
      <c r="H11" s="31">
        <f>COUNTIFS([1]!Table_1[Job Role],practice!B11,[1]!Table_1[CF_attrition label],"Current Employees")</f>
        <v>77</v>
      </c>
      <c r="K11" s="31" t="str">
        <v>Sales Executive</v>
      </c>
    </row>
    <row r="12" spans="1:51" x14ac:dyDescent="0.25">
      <c r="C12" s="33">
        <f>SUM(C3:C11)</f>
        <v>1468</v>
      </c>
      <c r="D12" s="35">
        <f>SUM(_xlfn.ANCHORARRAY(D3))</f>
        <v>9521097</v>
      </c>
      <c r="E12" s="35">
        <f>SUM(_xlfn.ANCHORARRAY(E3))</f>
        <v>68223.298408023082</v>
      </c>
      <c r="F12" s="35"/>
      <c r="G12" s="35"/>
      <c r="H12" s="37">
        <f>SUM(H3:H11)</f>
        <v>1232</v>
      </c>
      <c r="K12" s="31" t="str">
        <v>Sales Representative</v>
      </c>
    </row>
    <row r="13" spans="1:51" x14ac:dyDescent="0.25">
      <c r="C13" s="38" t="str">
        <f>[1]!Table_1[[#Headers],[emp no]]</f>
        <v>emp no</v>
      </c>
    </row>
    <row r="14" spans="1:51" x14ac:dyDescent="0.25">
      <c r="B14" s="31" t="s">
        <v>64</v>
      </c>
      <c r="C14" t="str" cm="1">
        <f t="array" ref="C14:C19">_xlfn.TAKE(_xlfn._xlws.FILTER([1]!Table_1[emp no],[1]!Table_1[Monthly Income],[1]!Table_1[Monthly Income]&gt;15000),6)</f>
        <v>STAFF-1</v>
      </c>
      <c r="D14" s="43" t="str">
        <f>_xlfn.XLOOKUP(MAX([1]!Table_1[Monthly Income]),[1]!Table_1[Monthly Income],[1]!Table_1[Department])</f>
        <v>R&amp;D</v>
      </c>
      <c r="E14" s="25"/>
      <c r="F14" s="25"/>
      <c r="G14" s="25"/>
      <c r="H14" t="str" cm="1">
        <f t="array" ref="H14:AY18">_xlfn.TAKE(_xlfn._xlws.FILTER([1]!Table_1[#Data],([1]!Table_1[Monthly Income]&gt;18000)*([1]!Table_1[Gender]="Female")),5)</f>
        <v>No</v>
      </c>
      <c r="I14" t="str">
        <v>Travel_Rarely</v>
      </c>
      <c r="J14" t="str">
        <v>45 - 54</v>
      </c>
      <c r="K14" t="str">
        <v>Current Employees</v>
      </c>
      <c r="L14" t="str">
        <v>R&amp;D</v>
      </c>
      <c r="M14" t="str">
        <v>Other</v>
      </c>
      <c r="N14" t="str">
        <v>STAFF-32</v>
      </c>
      <c r="O14">
        <v>32</v>
      </c>
      <c r="P14" t="str">
        <v>Female</v>
      </c>
      <c r="Q14" t="str">
        <v>Manager</v>
      </c>
      <c r="R14" t="str">
        <v>Divorced</v>
      </c>
      <c r="S14" t="str">
        <v>No</v>
      </c>
      <c r="T14" t="str">
        <v>Y</v>
      </c>
      <c r="U14">
        <v>3</v>
      </c>
      <c r="V14">
        <v>-2</v>
      </c>
      <c r="W14">
        <v>0</v>
      </c>
      <c r="X14">
        <v>53</v>
      </c>
      <c r="Y14">
        <v>0</v>
      </c>
      <c r="Z14">
        <v>0</v>
      </c>
      <c r="AA14">
        <v>0</v>
      </c>
      <c r="AB14">
        <v>1</v>
      </c>
      <c r="AC14">
        <v>1282</v>
      </c>
      <c r="AD14">
        <v>5</v>
      </c>
      <c r="AE14" t="str">
        <v>Bachelor's Degree</v>
      </c>
      <c r="AF14">
        <v>1</v>
      </c>
      <c r="AG14">
        <v>3</v>
      </c>
      <c r="AH14">
        <v>58</v>
      </c>
      <c r="AI14">
        <v>3</v>
      </c>
      <c r="AJ14">
        <v>5</v>
      </c>
      <c r="AK14">
        <v>3</v>
      </c>
      <c r="AL14">
        <v>19094</v>
      </c>
      <c r="AM14">
        <v>10735</v>
      </c>
      <c r="AN14">
        <v>4</v>
      </c>
      <c r="AO14">
        <v>11</v>
      </c>
      <c r="AP14">
        <v>3</v>
      </c>
      <c r="AQ14">
        <v>4</v>
      </c>
      <c r="AR14">
        <v>80</v>
      </c>
      <c r="AS14">
        <v>1</v>
      </c>
      <c r="AT14">
        <v>26</v>
      </c>
      <c r="AU14">
        <v>2</v>
      </c>
      <c r="AV14">
        <v>14</v>
      </c>
      <c r="AW14">
        <v>13</v>
      </c>
      <c r="AX14">
        <v>4</v>
      </c>
      <c r="AY14">
        <v>8</v>
      </c>
    </row>
    <row r="15" spans="1:51" x14ac:dyDescent="0.25">
      <c r="C15" t="str">
        <v>STAFF-2</v>
      </c>
      <c r="D15" s="44" t="str" cm="1">
        <f t="array" ref="D15:D16">_xlfn._xlws.FILTER([1]!Table_1[emp no],[1]!Table_1[Monthly Income]=MAX([1]!Table_1[Monthly Income]))</f>
        <v>STAFF-226</v>
      </c>
      <c r="E15" t="str" cm="1">
        <f t="array" ref="E15">_xlfn.TEXTJOIN(",",,_xlfn._xlws.FILTER([1]!Table_1[emp no],[1]!Table_1[Monthly Income]=MAX([1]!Table_1[Monthly Income])))</f>
        <v>STAFF-226,STAFF-259</v>
      </c>
      <c r="H15" t="str">
        <v>No</v>
      </c>
      <c r="I15" t="str">
        <v>Travel_Rarely</v>
      </c>
      <c r="J15" t="str">
        <v>45 - 54</v>
      </c>
      <c r="K15" t="str">
        <v>Current Employees</v>
      </c>
      <c r="L15" t="str">
        <v>Sales</v>
      </c>
      <c r="M15" t="str">
        <v>Marketing</v>
      </c>
      <c r="N15" t="str">
        <v>STAFF-38</v>
      </c>
      <c r="O15">
        <v>38</v>
      </c>
      <c r="P15" t="str">
        <v>Female</v>
      </c>
      <c r="Q15" t="str">
        <v>Manager</v>
      </c>
      <c r="R15" t="str">
        <v>Single</v>
      </c>
      <c r="S15" t="str">
        <v>No</v>
      </c>
      <c r="T15" t="str">
        <v>Y</v>
      </c>
      <c r="U15">
        <v>2</v>
      </c>
      <c r="V15">
        <v>-2</v>
      </c>
      <c r="W15">
        <v>0</v>
      </c>
      <c r="X15">
        <v>46</v>
      </c>
      <c r="Y15">
        <v>0</v>
      </c>
      <c r="Z15">
        <v>0</v>
      </c>
      <c r="AA15">
        <v>0</v>
      </c>
      <c r="AB15">
        <v>1</v>
      </c>
      <c r="AC15">
        <v>705</v>
      </c>
      <c r="AD15">
        <v>2</v>
      </c>
      <c r="AE15" t="str">
        <v>Master's Degree</v>
      </c>
      <c r="AF15">
        <v>1</v>
      </c>
      <c r="AG15">
        <v>2</v>
      </c>
      <c r="AH15">
        <v>83</v>
      </c>
      <c r="AI15">
        <v>3</v>
      </c>
      <c r="AJ15">
        <v>5</v>
      </c>
      <c r="AK15">
        <v>4</v>
      </c>
      <c r="AL15">
        <v>18947</v>
      </c>
      <c r="AM15">
        <v>22822</v>
      </c>
      <c r="AN15">
        <v>3</v>
      </c>
      <c r="AO15">
        <v>12</v>
      </c>
      <c r="AP15">
        <v>3</v>
      </c>
      <c r="AQ15">
        <v>4</v>
      </c>
      <c r="AR15">
        <v>80</v>
      </c>
      <c r="AS15">
        <v>0</v>
      </c>
      <c r="AT15">
        <v>22</v>
      </c>
      <c r="AU15">
        <v>2</v>
      </c>
      <c r="AV15">
        <v>2</v>
      </c>
      <c r="AW15">
        <v>2</v>
      </c>
      <c r="AX15">
        <v>2</v>
      </c>
      <c r="AY15">
        <v>1</v>
      </c>
    </row>
    <row r="16" spans="1:51" x14ac:dyDescent="0.25">
      <c r="C16" t="str">
        <v>STAFF-4</v>
      </c>
      <c r="D16" s="44" t="str">
        <v>STAFF-259</v>
      </c>
      <c r="H16" t="str">
        <v>Yes</v>
      </c>
      <c r="I16" t="str">
        <v>Travel_Rarely</v>
      </c>
      <c r="J16" t="str">
        <v>35 - 44</v>
      </c>
      <c r="K16" t="str">
        <v>Ex-Employees</v>
      </c>
      <c r="L16" t="str">
        <v>R&amp;D</v>
      </c>
      <c r="M16" t="str">
        <v>Technical Degree</v>
      </c>
      <c r="N16" t="str">
        <v>STAFF-58</v>
      </c>
      <c r="O16">
        <v>58</v>
      </c>
      <c r="P16" t="str">
        <v>Female</v>
      </c>
      <c r="Q16" t="str">
        <v>Research Analyzer</v>
      </c>
      <c r="R16" t="str">
        <v>Married</v>
      </c>
      <c r="S16" t="str">
        <v>No</v>
      </c>
      <c r="T16" t="str">
        <v>Y</v>
      </c>
      <c r="U16">
        <v>0</v>
      </c>
      <c r="V16">
        <v>-2</v>
      </c>
      <c r="W16">
        <v>0</v>
      </c>
      <c r="X16">
        <v>41</v>
      </c>
      <c r="Y16">
        <v>1</v>
      </c>
      <c r="Z16">
        <v>1</v>
      </c>
      <c r="AA16">
        <v>1</v>
      </c>
      <c r="AB16">
        <v>0</v>
      </c>
      <c r="AC16">
        <v>1360</v>
      </c>
      <c r="AD16">
        <v>12</v>
      </c>
      <c r="AE16" t="str">
        <v>Bachelor's Degree</v>
      </c>
      <c r="AF16">
        <v>1</v>
      </c>
      <c r="AG16">
        <v>2</v>
      </c>
      <c r="AH16">
        <v>49</v>
      </c>
      <c r="AI16">
        <v>3</v>
      </c>
      <c r="AJ16">
        <v>5</v>
      </c>
      <c r="AK16">
        <v>3</v>
      </c>
      <c r="AL16">
        <v>19545</v>
      </c>
      <c r="AM16">
        <v>16280</v>
      </c>
      <c r="AN16">
        <v>1</v>
      </c>
      <c r="AO16">
        <v>12</v>
      </c>
      <c r="AP16">
        <v>3</v>
      </c>
      <c r="AQ16">
        <v>4</v>
      </c>
      <c r="AR16">
        <v>80</v>
      </c>
      <c r="AS16">
        <v>0</v>
      </c>
      <c r="AT16">
        <v>23</v>
      </c>
      <c r="AU16">
        <v>3</v>
      </c>
      <c r="AV16">
        <v>22</v>
      </c>
      <c r="AW16">
        <v>15</v>
      </c>
      <c r="AX16">
        <v>15</v>
      </c>
      <c r="AY16">
        <v>8</v>
      </c>
    </row>
    <row r="17" spans="3:51" x14ac:dyDescent="0.25">
      <c r="C17" t="str">
        <v>STAFF-5</v>
      </c>
      <c r="H17" t="str">
        <v>No</v>
      </c>
      <c r="I17" t="str">
        <v>Travel_Rarely</v>
      </c>
      <c r="J17" t="str">
        <v>45 - 54</v>
      </c>
      <c r="K17" t="str">
        <v>Current Employees</v>
      </c>
      <c r="L17" t="str">
        <v>R&amp;D</v>
      </c>
      <c r="M17" t="str">
        <v>Medical</v>
      </c>
      <c r="N17" t="str">
        <v>STAFF-80</v>
      </c>
      <c r="O17">
        <v>80</v>
      </c>
      <c r="P17" t="str">
        <v>Female</v>
      </c>
      <c r="Q17" t="str">
        <v>Research Analyzer</v>
      </c>
      <c r="R17" t="str">
        <v>Divorced</v>
      </c>
      <c r="S17" t="str">
        <v>Yes</v>
      </c>
      <c r="T17" t="str">
        <v>Y</v>
      </c>
      <c r="U17">
        <v>2</v>
      </c>
      <c r="V17">
        <v>-2</v>
      </c>
      <c r="W17">
        <v>0</v>
      </c>
      <c r="X17">
        <v>50</v>
      </c>
      <c r="Y17">
        <v>0</v>
      </c>
      <c r="Z17">
        <v>0</v>
      </c>
      <c r="AA17">
        <v>0</v>
      </c>
      <c r="AB17">
        <v>1</v>
      </c>
      <c r="AC17">
        <v>989</v>
      </c>
      <c r="AD17">
        <v>7</v>
      </c>
      <c r="AE17" t="str">
        <v>Associates Degree</v>
      </c>
      <c r="AF17">
        <v>1</v>
      </c>
      <c r="AG17">
        <v>2</v>
      </c>
      <c r="AH17">
        <v>43</v>
      </c>
      <c r="AI17">
        <v>2</v>
      </c>
      <c r="AJ17">
        <v>5</v>
      </c>
      <c r="AK17">
        <v>3</v>
      </c>
      <c r="AL17">
        <v>18740</v>
      </c>
      <c r="AM17">
        <v>16701</v>
      </c>
      <c r="AN17">
        <v>5</v>
      </c>
      <c r="AO17">
        <v>12</v>
      </c>
      <c r="AP17">
        <v>3</v>
      </c>
      <c r="AQ17">
        <v>4</v>
      </c>
      <c r="AR17">
        <v>80</v>
      </c>
      <c r="AS17">
        <v>1</v>
      </c>
      <c r="AT17">
        <v>29</v>
      </c>
      <c r="AU17">
        <v>2</v>
      </c>
      <c r="AV17">
        <v>27</v>
      </c>
      <c r="AW17">
        <v>3</v>
      </c>
      <c r="AX17">
        <v>13</v>
      </c>
      <c r="AY17">
        <v>8</v>
      </c>
    </row>
    <row r="18" spans="3:51" x14ac:dyDescent="0.25">
      <c r="C18" t="str">
        <v>STAFF-7</v>
      </c>
      <c r="H18" t="str">
        <v>No</v>
      </c>
      <c r="I18" t="str">
        <v>Non-Travel</v>
      </c>
      <c r="J18" t="str">
        <v>Over 55</v>
      </c>
      <c r="K18" t="str">
        <v>Current Employees</v>
      </c>
      <c r="L18" t="str">
        <v>HR</v>
      </c>
      <c r="M18" t="str">
        <v>Human Resources</v>
      </c>
      <c r="N18" t="str">
        <v>STAFF-140</v>
      </c>
      <c r="O18">
        <v>140</v>
      </c>
      <c r="P18" t="str">
        <v>Female</v>
      </c>
      <c r="Q18" t="str">
        <v>Manager</v>
      </c>
      <c r="R18" t="str">
        <v>Married</v>
      </c>
      <c r="S18" t="str">
        <v>No</v>
      </c>
      <c r="T18" t="str">
        <v>Y</v>
      </c>
      <c r="U18">
        <v>3</v>
      </c>
      <c r="V18">
        <v>-2</v>
      </c>
      <c r="W18">
        <v>0</v>
      </c>
      <c r="X18">
        <v>59</v>
      </c>
      <c r="Y18">
        <v>0</v>
      </c>
      <c r="Z18">
        <v>0</v>
      </c>
      <c r="AA18">
        <v>0</v>
      </c>
      <c r="AB18">
        <v>1</v>
      </c>
      <c r="AC18">
        <v>1420</v>
      </c>
      <c r="AD18">
        <v>2</v>
      </c>
      <c r="AE18" t="str">
        <v>Master's Degree</v>
      </c>
      <c r="AF18">
        <v>1</v>
      </c>
      <c r="AG18">
        <v>3</v>
      </c>
      <c r="AH18">
        <v>32</v>
      </c>
      <c r="AI18">
        <v>2</v>
      </c>
      <c r="AJ18">
        <v>5</v>
      </c>
      <c r="AK18">
        <v>4</v>
      </c>
      <c r="AL18">
        <v>18844</v>
      </c>
      <c r="AM18">
        <v>21922</v>
      </c>
      <c r="AN18">
        <v>9</v>
      </c>
      <c r="AO18">
        <v>21</v>
      </c>
      <c r="AP18">
        <v>4</v>
      </c>
      <c r="AQ18">
        <v>4</v>
      </c>
      <c r="AR18">
        <v>80</v>
      </c>
      <c r="AS18">
        <v>1</v>
      </c>
      <c r="AT18">
        <v>30</v>
      </c>
      <c r="AU18">
        <v>3</v>
      </c>
      <c r="AV18">
        <v>3</v>
      </c>
      <c r="AW18">
        <v>2</v>
      </c>
      <c r="AX18">
        <v>2</v>
      </c>
      <c r="AY18">
        <v>2</v>
      </c>
    </row>
    <row r="19" spans="3:51" x14ac:dyDescent="0.25">
      <c r="C19" t="str">
        <v>STAFF-8</v>
      </c>
    </row>
    <row r="20" spans="3:51" x14ac:dyDescent="0.25">
      <c r="C20" s="43" t="s">
        <v>111</v>
      </c>
      <c r="D20" s="44" t="str" cm="1">
        <f t="array" ref="D20:I21">_xlfn._xlws.FILTER(B40:G48,LEFT(F40:F48,1)="b")</f>
        <v>Sales Executive</v>
      </c>
      <c r="E20" s="44">
        <v>10000</v>
      </c>
      <c r="F20" s="44" t="str">
        <v>bob brown</v>
      </c>
      <c r="G20" s="44" t="str">
        <v>STAFF-2</v>
      </c>
      <c r="H20" s="44" t="str">
        <v>bob</v>
      </c>
      <c r="I20" s="44" t="str">
        <v>brown</v>
      </c>
    </row>
    <row r="21" spans="3:51" x14ac:dyDescent="0.25">
      <c r="C21" s="44"/>
      <c r="D21" s="44" t="str">
        <v>Healthcare Representative</v>
      </c>
      <c r="E21" s="44">
        <v>23000</v>
      </c>
      <c r="F21" s="44" t="str">
        <v>barel been</v>
      </c>
      <c r="G21" s="44" t="str">
        <v>STAFF-6</v>
      </c>
      <c r="H21" s="44" t="str">
        <v>barel</v>
      </c>
      <c r="I21" s="44" t="str">
        <v>been</v>
      </c>
    </row>
    <row r="22" spans="3:51" ht="0.75" customHeight="1" x14ac:dyDescent="0.25"/>
    <row r="23" spans="3:51" hidden="1" x14ac:dyDescent="0.25"/>
    <row r="24" spans="3:51" hidden="1" x14ac:dyDescent="0.25"/>
    <row r="25" spans="3:51" hidden="1" x14ac:dyDescent="0.25"/>
    <row r="26" spans="3:51" hidden="1" x14ac:dyDescent="0.25"/>
    <row r="27" spans="3:51" hidden="1" x14ac:dyDescent="0.25"/>
    <row r="28" spans="3:51" hidden="1" x14ac:dyDescent="0.25"/>
    <row r="29" spans="3:51" hidden="1" x14ac:dyDescent="0.25"/>
    <row r="30" spans="3:51" hidden="1" x14ac:dyDescent="0.25"/>
    <row r="31" spans="3:51" hidden="1" x14ac:dyDescent="0.25"/>
    <row r="32" spans="3:51" hidden="1" x14ac:dyDescent="0.25"/>
    <row r="33" spans="2:14" hidden="1" x14ac:dyDescent="0.25"/>
    <row r="34" spans="2:14" hidden="1" x14ac:dyDescent="0.25"/>
    <row r="35" spans="2:14" hidden="1" x14ac:dyDescent="0.25"/>
    <row r="36" spans="2:14" hidden="1" x14ac:dyDescent="0.25"/>
    <row r="37" spans="2:14" hidden="1" x14ac:dyDescent="0.25"/>
    <row r="38" spans="2:14" x14ac:dyDescent="0.25">
      <c r="H38" t="str" cm="1">
        <f t="array" ref="H38:M38">_xlfn.XLOOKUP(E42,E40:E48,B40:G48)</f>
        <v>Research Scientist</v>
      </c>
      <c r="I38">
        <v>30000</v>
      </c>
      <c r="J38" t="str">
        <v>alice johnson</v>
      </c>
      <c r="K38" t="str">
        <v>STAFF-3</v>
      </c>
      <c r="L38" t="str">
        <v>alice</v>
      </c>
      <c r="M38" t="str">
        <v>johnson</v>
      </c>
    </row>
    <row r="39" spans="2:14" x14ac:dyDescent="0.25">
      <c r="B39" s="36" t="s">
        <v>1</v>
      </c>
      <c r="C39" s="36" t="s">
        <v>69</v>
      </c>
      <c r="D39" s="36" t="s">
        <v>70</v>
      </c>
      <c r="E39" s="30" t="str">
        <f>[1]!Table_1[[#Headers],[emp no]]</f>
        <v>emp no</v>
      </c>
      <c r="F39" s="30" t="s">
        <v>87</v>
      </c>
      <c r="G39" s="30" t="s">
        <v>88</v>
      </c>
      <c r="H39" t="str" cm="1">
        <f t="array" ref="H39:N39">_xlfn._xlws.FILTER([1]!Table_1[[CF_attrition label]:[Job Role]],[1]!Table_1[emp no]="STAFF-32")</f>
        <v>Current Employees</v>
      </c>
      <c r="I39" t="str">
        <v>R&amp;D</v>
      </c>
      <c r="J39" t="str">
        <v>Other</v>
      </c>
      <c r="K39" t="str">
        <v>STAFF-32</v>
      </c>
      <c r="L39">
        <v>32</v>
      </c>
      <c r="M39" t="str">
        <v>Female</v>
      </c>
      <c r="N39" t="str">
        <v>Manager</v>
      </c>
    </row>
    <row r="40" spans="2:14" x14ac:dyDescent="0.25">
      <c r="B40" s="31" t="s">
        <v>37</v>
      </c>
      <c r="C40" s="31">
        <v>12000</v>
      </c>
      <c r="D40" s="40" t="s">
        <v>71</v>
      </c>
      <c r="E40" s="40" t="s">
        <v>5</v>
      </c>
      <c r="F40" s="40" t="s">
        <v>89</v>
      </c>
      <c r="G40" s="40" t="s">
        <v>90</v>
      </c>
      <c r="H40" s="39">
        <f>MIN([1]!Table_1[Monthly Income])</f>
        <v>1009</v>
      </c>
    </row>
    <row r="41" spans="2:14" x14ac:dyDescent="0.25">
      <c r="B41" s="31" t="s">
        <v>6</v>
      </c>
      <c r="C41" s="31">
        <v>10000</v>
      </c>
      <c r="D41" s="40" t="s">
        <v>72</v>
      </c>
      <c r="E41" s="40" t="s">
        <v>11</v>
      </c>
      <c r="F41" s="40" t="s">
        <v>91</v>
      </c>
      <c r="G41" s="40" t="s">
        <v>92</v>
      </c>
      <c r="H41" s="39">
        <f>MAX([1]!Table_1[Monthly Income])</f>
        <v>19999</v>
      </c>
      <c r="J41" cm="1">
        <f t="array" ref="J41:J45">_xlfn.TAKE(_xlfn._xlws.SORT([1]!Table_1[Monthly Income],,-1),5)</f>
        <v>19999</v>
      </c>
      <c r="L41" s="25" t="s">
        <v>65</v>
      </c>
      <c r="M41" s="25" t="s">
        <v>66</v>
      </c>
    </row>
    <row r="42" spans="2:14" x14ac:dyDescent="0.25">
      <c r="B42" s="41" t="s">
        <v>13</v>
      </c>
      <c r="C42" s="41">
        <v>30000</v>
      </c>
      <c r="D42" s="42" t="s">
        <v>73</v>
      </c>
      <c r="E42" s="42" t="s">
        <v>85</v>
      </c>
      <c r="F42" s="42" t="s">
        <v>93</v>
      </c>
      <c r="G42" s="42" t="s">
        <v>94</v>
      </c>
      <c r="H42" s="39">
        <f>LARGE([1]!Table_1[Monthly Income],1)</f>
        <v>19999</v>
      </c>
      <c r="J42">
        <v>19999</v>
      </c>
      <c r="L42">
        <f>_xlfn.MINIFS([1]!Table_1[Monthly Income],[1]!Table_1[Gender],"Male")</f>
        <v>1009</v>
      </c>
      <c r="M42">
        <f>_xlfn.MINIFS([1]!Table_1[Monthly Income],[1]!Table_1[Gender],"Female")</f>
        <v>1129</v>
      </c>
    </row>
    <row r="43" spans="2:14" x14ac:dyDescent="0.25">
      <c r="B43" s="31" t="s">
        <v>31</v>
      </c>
      <c r="C43" s="31">
        <v>25000</v>
      </c>
      <c r="D43" s="40" t="s">
        <v>74</v>
      </c>
      <c r="E43" s="40" t="s">
        <v>16</v>
      </c>
      <c r="F43" s="40" t="s">
        <v>95</v>
      </c>
      <c r="G43" s="40" t="s">
        <v>96</v>
      </c>
      <c r="H43" s="39">
        <f>LARGE([1]!Table_1[Monthly Income],2)</f>
        <v>19999</v>
      </c>
      <c r="J43">
        <v>19973</v>
      </c>
      <c r="L43">
        <f>_xlfn.MAXIFS([1]!Table_1[Monthly Income],[1]!Table_1[Gender],"Male")</f>
        <v>19999</v>
      </c>
      <c r="M43">
        <f>_xlfn.MAXIFS([1]!Table_1[Monthly Income],[1]!Table_1[Gender],"Female")</f>
        <v>19999</v>
      </c>
    </row>
    <row r="44" spans="2:14" x14ac:dyDescent="0.25">
      <c r="B44" s="31" t="s">
        <v>17</v>
      </c>
      <c r="C44" s="31">
        <v>30000</v>
      </c>
      <c r="D44" s="40" t="s">
        <v>75</v>
      </c>
      <c r="E44" s="40" t="s">
        <v>19</v>
      </c>
      <c r="F44" s="40" t="s">
        <v>97</v>
      </c>
      <c r="G44" s="40" t="s">
        <v>98</v>
      </c>
      <c r="H44" s="39">
        <f>LARGE([1]!Table_1[Monthly Income],3)</f>
        <v>19973</v>
      </c>
      <c r="J44">
        <v>19943</v>
      </c>
      <c r="L44" cm="1">
        <f t="array" ref="L44:L46">_xlfn.TAKE(_xlfn._xlws.FILTER([1]!Table_1[Monthly Income],[1]!Table_1[Gender]="Male"),3)</f>
        <v>5130</v>
      </c>
      <c r="M44" cm="1">
        <f t="array" ref="M44">LARGE(_xlfn._xlws.FILTER([1]!Table_1[Monthly Income],[1]!Table_1[Gender]="Female"),3)</f>
        <v>19943</v>
      </c>
    </row>
    <row r="45" spans="2:14" x14ac:dyDescent="0.25">
      <c r="B45" s="31" t="s">
        <v>28</v>
      </c>
      <c r="C45" s="31">
        <v>23000</v>
      </c>
      <c r="D45" s="40" t="s">
        <v>76</v>
      </c>
      <c r="E45" s="40" t="s">
        <v>86</v>
      </c>
      <c r="F45" s="40" t="s">
        <v>99</v>
      </c>
      <c r="G45" s="40" t="s">
        <v>100</v>
      </c>
      <c r="J45">
        <v>19859</v>
      </c>
      <c r="L45">
        <v>2090</v>
      </c>
    </row>
    <row r="46" spans="2:14" x14ac:dyDescent="0.25">
      <c r="B46" s="31" t="s">
        <v>27</v>
      </c>
      <c r="C46" s="31">
        <v>19000</v>
      </c>
      <c r="D46" s="40" t="s">
        <v>77</v>
      </c>
      <c r="E46" s="40" t="s">
        <v>22</v>
      </c>
      <c r="F46" s="40" t="s">
        <v>101</v>
      </c>
      <c r="G46" s="40" t="s">
        <v>102</v>
      </c>
      <c r="L46">
        <v>3468</v>
      </c>
    </row>
    <row r="47" spans="2:14" x14ac:dyDescent="0.25">
      <c r="B47" s="31" t="s">
        <v>30</v>
      </c>
      <c r="C47" s="31">
        <v>32000</v>
      </c>
      <c r="D47" s="40" t="s">
        <v>78</v>
      </c>
      <c r="E47" s="40" t="s">
        <v>23</v>
      </c>
      <c r="F47" s="40" t="s">
        <v>103</v>
      </c>
      <c r="G47" s="40" t="s">
        <v>104</v>
      </c>
    </row>
    <row r="48" spans="2:14" x14ac:dyDescent="0.25">
      <c r="B48" s="31" t="s">
        <v>32</v>
      </c>
      <c r="C48" s="31">
        <v>15000</v>
      </c>
      <c r="D48" s="40" t="s">
        <v>79</v>
      </c>
      <c r="E48" s="40" t="s">
        <v>80</v>
      </c>
      <c r="F48" s="40" t="s">
        <v>105</v>
      </c>
      <c r="G48" s="40" t="s">
        <v>106</v>
      </c>
      <c r="K48" t="str" cm="1">
        <f t="array" ref="K48:K53">TRANSPOSE(_xlfn.XLOOKUP(E42,E40:E48,B40:G48))</f>
        <v>Research Scientist</v>
      </c>
    </row>
    <row r="49" spans="2:11" x14ac:dyDescent="0.25">
      <c r="E49" s="40"/>
      <c r="F49" s="40"/>
      <c r="G49" s="40"/>
      <c r="K49">
        <v>30000</v>
      </c>
    </row>
    <row r="50" spans="2:11" x14ac:dyDescent="0.25">
      <c r="B50" s="31" t="s">
        <v>81</v>
      </c>
      <c r="C50" s="40" t="s">
        <v>110</v>
      </c>
      <c r="E50">
        <f>MATCH(G45,G40:G48,0)</f>
        <v>6</v>
      </c>
      <c r="F50" s="40" t="s">
        <v>107</v>
      </c>
      <c r="K50" t="str">
        <v>alice johnson</v>
      </c>
    </row>
    <row r="51" spans="2:11" x14ac:dyDescent="0.25">
      <c r="B51" s="31" t="s">
        <v>82</v>
      </c>
      <c r="C51" t="e">
        <f>_xlfn.XLOOKUP(C50,E40:E48,F40:F48)</f>
        <v>#N/A</v>
      </c>
      <c r="E51" t="str">
        <f>INDEX(E40:E48,6)</f>
        <v>STAFF-6</v>
      </c>
      <c r="K51" t="str">
        <v>STAFF-3</v>
      </c>
    </row>
    <row r="52" spans="2:11" x14ac:dyDescent="0.25">
      <c r="B52" s="31" t="s">
        <v>83</v>
      </c>
      <c r="C52" t="str">
        <f>_xlfn.XLOOKUP(C50,E40:E48,G40:G48,"not found")</f>
        <v>not found</v>
      </c>
      <c r="E52" t="str">
        <f>INDEX(E40:E48,MATCH(G45,G40:G48,0))</f>
        <v>STAFF-6</v>
      </c>
      <c r="H52" s="25" t="s">
        <v>108</v>
      </c>
      <c r="K52" t="str">
        <v>alice</v>
      </c>
    </row>
    <row r="53" spans="2:11" x14ac:dyDescent="0.25">
      <c r="B53" s="31" t="s">
        <v>84</v>
      </c>
      <c r="C53" t="e">
        <f>_xlfn.XLOOKUP(C50,E40:E48,B40:B48)</f>
        <v>#N/A</v>
      </c>
      <c r="E53" t="str">
        <f>INDEX(B40:B48,MATCH(G45,G40:G48,0))</f>
        <v>Healthcare Representative</v>
      </c>
      <c r="H53" s="25" t="s">
        <v>109</v>
      </c>
      <c r="K53" t="str">
        <v>johnson</v>
      </c>
    </row>
    <row r="54" spans="2:11" x14ac:dyDescent="0.25">
      <c r="B54" s="31" t="s">
        <v>69</v>
      </c>
      <c r="C54" t="e">
        <f>_xlfn.XLOOKUP(C50,E40:E48,C40:C48)</f>
        <v>#N/A</v>
      </c>
      <c r="E54">
        <f>INDEX(C40:C48,MATCH(G45,G40:G48,0))</f>
        <v>23000</v>
      </c>
    </row>
  </sheetData>
  <sortState xmlns:xlrd2="http://schemas.microsoft.com/office/spreadsheetml/2017/richdata2" ref="A3:E11">
    <sortCondition ref="D3:D11"/>
  </sortState>
  <dataConsolidate/>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workbookViewId="0"/>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workbookViewId="0"/>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E23841-CAF9-4029-BE88-FF394DA2FB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Sheet1</vt:lpstr>
      <vt:lpstr>Sheet2</vt:lpstr>
      <vt:lpstr>Sheet3</vt:lpstr>
      <vt:lpstr>Sheet4</vt:lpstr>
      <vt:lpstr>Sheet5</vt:lpstr>
      <vt:lpstr>Sheet6</vt:lpstr>
      <vt:lpstr>Sheet7</vt:lpstr>
      <vt:lpstr>practice</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2025-12-23T14:02:47Z</dcterms:created>
  <dcterms:modified xsi:type="dcterms:W3CDTF">2025-12-23T14:51:19Z</dcterms:modified>
</cp:coreProperties>
</file>